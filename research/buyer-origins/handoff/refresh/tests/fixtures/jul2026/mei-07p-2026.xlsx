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"/>
    </mc:Choice>
  </mc:AlternateContent>
  <xr:revisionPtr revIDLastSave="11" documentId="8_{C0E65DB3-6F86-44A0-98A2-9402F19E8C92}" xr6:coauthVersionLast="47" xr6:coauthVersionMax="47" xr10:uidLastSave="{FB442688-DD14-4B1D-89D7-106B8ED45024}"/>
  <bookViews>
    <workbookView xWindow="-108" yWindow="-108" windowWidth="23256" windowHeight="13896" tabRatio="966" xr2:uid="{00000000-000D-0000-FFFF-FFFF00000000}"/>
  </bookViews>
  <sheets>
    <sheet name="MEI 2026-07  ADA2 TOC" sheetId="12" r:id="rId1"/>
    <sheet name="MEI 2026-07 ADA2 SA" sheetId="8" r:id="rId2"/>
    <sheet name="MEI 2026-07 ADA2 State" sheetId="2" r:id="rId3"/>
    <sheet name="MEI 2026-07 ADA2 Hono" sheetId="3" r:id="rId4"/>
    <sheet name="MEI 2026-07 ADA2 Hawaii" sheetId="4" r:id="rId5"/>
    <sheet name="MEI 2026-07 ADA2 Maui" sheetId="5" r:id="rId6"/>
    <sheet name="MEI 2026-07 ADA2 Kauai" sheetId="6" r:id="rId7"/>
    <sheet name="MEI 2026-07 ADA2 FY" sheetId="7" r:id="rId8"/>
  </sheets>
  <externalReferences>
    <externalReference r:id="rId9"/>
  </externalReferences>
  <definedNames>
    <definedName name="_xlnm.Print_Area" localSheetId="0">'MEI 2026-07  ADA2 TOC'!$A$1:$B$25</definedName>
    <definedName name="_xlnm.Print_Area" localSheetId="7">'MEI 2026-07 ADA2 FY'!$A$1:$H$49</definedName>
    <definedName name="_xlnm.Print_Area" localSheetId="4">'MEI 2026-07 ADA2 Hawaii'!$A$1:$G$65</definedName>
    <definedName name="_xlnm.Print_Area" localSheetId="3">'MEI 2026-07 ADA2 Hono'!$A$1:$G$65</definedName>
    <definedName name="_xlnm.Print_Area" localSheetId="6">'MEI 2026-07 ADA2 Kauai'!$A$1:$G$65</definedName>
    <definedName name="_xlnm.Print_Area" localSheetId="5">'MEI 2026-07 ADA2 Maui'!$A$1:$G$65</definedName>
    <definedName name="_xlnm.Print_Area" localSheetId="1">'MEI 2026-07 ADA2 SA'!$A$1:$G$51</definedName>
    <definedName name="_xlnm.Print_Area" localSheetId="2">'MEI 2026-07 ADA2 State'!$A$1:$G$66</definedName>
    <definedName name="SMS_print" localSheetId="0">#REF!</definedName>
    <definedName name="SMS_print" localSheetId="7">#REF!</definedName>
    <definedName name="SMS_print" localSheetId="4">#REF!</definedName>
    <definedName name="SMS_print" localSheetId="3">#REF!</definedName>
    <definedName name="SMS_print" localSheetId="6">#REF!</definedName>
    <definedName name="SMS_print" localSheetId="5">#REF!</definedName>
    <definedName name="SMS_print" localSheetId="1">#REF!</definedName>
    <definedName name="SMS_print" localSheetId="2">#REF!</definedName>
    <definedName name="SMS_prin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E39" i="3"/>
  <c r="E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7" i="3"/>
  <c r="B6" i="3"/>
  <c r="B5" i="3"/>
  <c r="B4" i="3"/>
  <c r="A41" i="3" l="1"/>
  <c r="A42" i="3"/>
  <c r="A43" i="3"/>
  <c r="A44" i="3"/>
  <c r="A45" i="3"/>
  <c r="A46" i="3"/>
  <c r="A37" i="3"/>
  <c r="A38" i="3"/>
  <c r="A39" i="3"/>
  <c r="A40" i="3"/>
  <c r="A54" i="3"/>
  <c r="A55" i="3"/>
  <c r="A56" i="3"/>
  <c r="A57" i="3"/>
  <c r="A58" i="3"/>
  <c r="A59" i="3"/>
  <c r="A60" i="3"/>
  <c r="A61" i="3"/>
  <c r="A62" i="3"/>
  <c r="A63" i="3"/>
  <c r="A64" i="3"/>
  <c r="A65" i="3"/>
  <c r="D3" i="3" l="1"/>
  <c r="G3" i="3"/>
  <c r="A1" i="3"/>
  <c r="B3" i="3" l="1"/>
  <c r="F3" i="3"/>
  <c r="E3" i="3"/>
  <c r="C3" i="3"/>
  <c r="A2" i="3"/>
</calcChain>
</file>

<file path=xl/sharedStrings.xml><?xml version="1.0" encoding="utf-8"?>
<sst xmlns="http://schemas.openxmlformats.org/spreadsheetml/2006/main" count="1006" uniqueCount="169">
  <si>
    <t>JUNE 2026</t>
  </si>
  <si>
    <t>Table Name</t>
  </si>
  <si>
    <t>Seas-Adj.</t>
  </si>
  <si>
    <t>SEASONALLY ADJUSTED EMPLOYMENT AND JOB DATA</t>
  </si>
  <si>
    <t>State</t>
  </si>
  <si>
    <t>EMPLOYMENT AND JOB DATA:  State</t>
  </si>
  <si>
    <t>Honolulu</t>
  </si>
  <si>
    <t>EMPLOYMENT AND JOB DATA:  Honolulu</t>
  </si>
  <si>
    <t>Hawaii</t>
  </si>
  <si>
    <t>EMPLOYMENT AND JOB DATA:  Hawaii County</t>
  </si>
  <si>
    <t>Maui</t>
  </si>
  <si>
    <t>EMPLOYMENT AND JOB DATA:  Maui County</t>
  </si>
  <si>
    <t>Kauai</t>
  </si>
  <si>
    <t>EMPLOYMENT AND JOB DATA:  Kauai County</t>
  </si>
  <si>
    <t>Tax Data, by Fiscal Year</t>
  </si>
  <si>
    <t>TAX DATA, BY FISCAL YEAR:  State and counties</t>
  </si>
  <si>
    <t>January 2026 through June 2026 YTD</t>
  </si>
  <si>
    <t>SERIES for State of Hawaii unless otherwise indicated</t>
  </si>
  <si>
    <t>Month Percentage Change</t>
  </si>
  <si>
    <t>YTD Percentage Change</t>
  </si>
  <si>
    <t>Civilian labor force SA, persons (Level 1) [a]</t>
  </si>
  <si>
    <t>Civilian employed SA (Level 2) [a]</t>
  </si>
  <si>
    <t>Civilian unemployed SA (Level 2) [a]</t>
  </si>
  <si>
    <t>Unemployment rate SA [a] [b]</t>
  </si>
  <si>
    <t>Total non-agriculture wage and salary jobs SA  (Level 1) [a]</t>
  </si>
  <si>
    <t xml:space="preserve">Mining Logging &amp; Construction (Level 2) </t>
  </si>
  <si>
    <t xml:space="preserve">Manufacturing (Level 2) </t>
  </si>
  <si>
    <t xml:space="preserve">Durable Goods (Level 3) </t>
  </si>
  <si>
    <t>Non-Durable Goods</t>
  </si>
  <si>
    <t xml:space="preserve">Trade, Transp. &amp; Utilities (Level 2) </t>
  </si>
  <si>
    <t xml:space="preserve">Wholesale Trade (Level 3) </t>
  </si>
  <si>
    <t xml:space="preserve">Retail Trade (Level 3) </t>
  </si>
  <si>
    <t>Transportation, Warehousing, &amp; Utilities</t>
  </si>
  <si>
    <t xml:space="preserve">Information (Level 2) </t>
  </si>
  <si>
    <t xml:space="preserve">Financial Activities (Level 2) </t>
  </si>
  <si>
    <t xml:space="preserve">Finance &amp; Insurance (Level 3) </t>
  </si>
  <si>
    <t xml:space="preserve">Real Estate, Rental &amp; Leasing (Level 3) </t>
  </si>
  <si>
    <t xml:space="preserve">Prof. &amp; Business Svcs. (Level 2) </t>
  </si>
  <si>
    <t xml:space="preserve">Prof. Scient.&amp; Tech Svcs. (Level 2) </t>
  </si>
  <si>
    <t>Mgmt of Companies &amp; Enterprises</t>
  </si>
  <si>
    <t>Admin. &amp; Support &amp; Waste Mgmt &amp; Remediation</t>
  </si>
  <si>
    <t xml:space="preserve">Educational &amp; Health Services (Level 2) </t>
  </si>
  <si>
    <t xml:space="preserve">Educational Services (Level 3) </t>
  </si>
  <si>
    <t xml:space="preserve">Health Care/Social Assist. (Level 3) </t>
  </si>
  <si>
    <t xml:space="preserve">Leisure &amp; Hospitality (Level 2) </t>
  </si>
  <si>
    <t xml:space="preserve">Arts, Entert. Recreation (Level 3) </t>
  </si>
  <si>
    <t xml:space="preserve">Accommod. &amp; Food Svcs (Level 3) </t>
  </si>
  <si>
    <t xml:space="preserve">Other Services (Level 2) </t>
  </si>
  <si>
    <t xml:space="preserve">Government (Level 2) </t>
  </si>
  <si>
    <t xml:space="preserve">Federal Gov't (Level 3) </t>
  </si>
  <si>
    <t xml:space="preserve">State Gov't (Level 3) </t>
  </si>
  <si>
    <t xml:space="preserve">Local Gov't (Level 3) </t>
  </si>
  <si>
    <t>Honolulu Civilian labor force SA, persons  (Level 1) [a]</t>
  </si>
  <si>
    <t>Honolulu Civilian employed SA (Level 2) [a]</t>
  </si>
  <si>
    <t>Honolulu Civilian unemployed SA (Level 2) [a]</t>
  </si>
  <si>
    <t>Honolulu Unemployment rate SA [a] [b]</t>
  </si>
  <si>
    <t>Honolulu Total Job Count</t>
  </si>
  <si>
    <t>Maui Civilian labor force SA, persons  (Level 1) [a]</t>
  </si>
  <si>
    <t>Maui Civilian employed SA (Level 2) [a]</t>
  </si>
  <si>
    <t>Maui Civilian unemployed SA (Level 2) [a]</t>
  </si>
  <si>
    <t>Maui Unemployment rate SA [a] [b]</t>
  </si>
  <si>
    <t>Maui Total Job Count</t>
  </si>
  <si>
    <t>[a]  Labor force and job averages are based on monthly rounded data. SA Seasonally Adjusted.</t>
  </si>
  <si>
    <t>See Hawaii DBEDT &lt;http://dbedt.hawaii.gov/economic/unemployment-statistics/&gt; and &lt;http://dbedt.hawaii.gov/economic/job-count-by-industry/&gt; .</t>
  </si>
  <si>
    <t>[b]  Change represents absolute change in rates rather than percentage change in rates.</t>
  </si>
  <si>
    <t>Source: Hawaii Department of Business, Economic Development &amp; Tourism and U.S. Bureau of Labor Statistics.</t>
  </si>
  <si>
    <t>Final tables compiled by Statistics &amp; Data Support Branch, READ, DBEDT</t>
  </si>
  <si>
    <t>Category</t>
  </si>
  <si>
    <t>Civilian labor force NSA, persons  (Level 1) [a]</t>
  </si>
  <si>
    <t>Civilian employed NSA (Level 2) [a]</t>
  </si>
  <si>
    <t>Civilian unemployed NSA (Level 2) [a]</t>
  </si>
  <si>
    <t>Unemployment rate NSA [a] [b]</t>
  </si>
  <si>
    <t>Total wage and salary jobs NSA  (Level 1) [a]</t>
  </si>
  <si>
    <t>(NA)</t>
  </si>
  <si>
    <t>Total non-agriculture wage and salary jobs NSA (Level 2)</t>
  </si>
  <si>
    <t xml:space="preserve">Natural Resources, Mining, Constr. (Level 3) </t>
  </si>
  <si>
    <t xml:space="preserve">Manufacturing (Level 3) </t>
  </si>
  <si>
    <t xml:space="preserve">Transportation, Warehousing, &amp; Utilities (Level 3) </t>
  </si>
  <si>
    <t xml:space="preserve">Information (Level 3) </t>
  </si>
  <si>
    <t xml:space="preserve">Financial Activities (Level 3) </t>
  </si>
  <si>
    <t xml:space="preserve">Prof. &amp; Business Svcs. (Level 3) </t>
  </si>
  <si>
    <t xml:space="preserve">Accommodation (Level 4) </t>
  </si>
  <si>
    <t xml:space="preserve">Food Services &amp; Drinking Places (Level 4) </t>
  </si>
  <si>
    <t xml:space="preserve">Other Services (Level 3) </t>
  </si>
  <si>
    <t xml:space="preserve">Government (Level 3) </t>
  </si>
  <si>
    <t xml:space="preserve">Federal Gov't (Level 4) </t>
  </si>
  <si>
    <t xml:space="preserve">State Gov't (Level 4) </t>
  </si>
  <si>
    <t xml:space="preserve">Local Gov't (Level 4) </t>
  </si>
  <si>
    <t>Agriculture wage and salary jobs NSA (Level 1) [a]</t>
  </si>
  <si>
    <t>State general fund tax revenues (Level 1) ($1,000)</t>
  </si>
  <si>
    <t xml:space="preserve">General excise &amp; use tax rev. (Level 2) ($1,000) </t>
  </si>
  <si>
    <t>Income-individual ($1,000) (Level 2)</t>
  </si>
  <si>
    <t>Declaration estimated taxes (Level 3)</t>
  </si>
  <si>
    <t>Payment w/returns (Level 3)</t>
  </si>
  <si>
    <t>WH tax on wages (Level 3)</t>
  </si>
  <si>
    <t>Refunds ('-' is relative to State) (Level 3)</t>
  </si>
  <si>
    <t>Transient accommodations tax (Level 2) ($1,000)</t>
  </si>
  <si>
    <t>County surcharges ($1,000) (Level 2) [c]</t>
  </si>
  <si>
    <t>Private Building Permits ($1,000) (Level 1) [d] [e]</t>
  </si>
  <si>
    <t>Residential (Level 2) [d] [e]</t>
  </si>
  <si>
    <t>Commercial &amp; industrial (Level 2) [d] [e] [f]</t>
  </si>
  <si>
    <t>Additions &amp; alterations (Level 2) [d] [e] [f]</t>
  </si>
  <si>
    <t>Single-family home resales (Level 1)</t>
  </si>
  <si>
    <t>Median selling price (Level 2)</t>
  </si>
  <si>
    <t>Inventory (aver. units on market) (Level 2) [g]</t>
  </si>
  <si>
    <t>Condo/Apt/Townhouse units resales (Level 1)</t>
  </si>
  <si>
    <t>Median price (Level 2)</t>
  </si>
  <si>
    <t>Total visitor days by air (Level 1)</t>
  </si>
  <si>
    <t>Domestic visitor days by air (Level 2)</t>
  </si>
  <si>
    <t>International visitor days by air (Level 2)</t>
  </si>
  <si>
    <t>Visitor arrivals by air (Level 1)</t>
  </si>
  <si>
    <t>Domestic visitors (Level 2)</t>
  </si>
  <si>
    <t>International visitors (Level 2)</t>
  </si>
  <si>
    <t>Visitor expenditures by air ($1,000)</t>
  </si>
  <si>
    <t>[a]  Labor force and job averages are based on monthly rounded data. NSA Not Seasonally Adjusted.</t>
  </si>
  <si>
    <t>[c]  0.5% added to the general excise tax to pay for O‘ahu‘s mass transit system and took effect January 1, 2007.</t>
  </si>
  <si>
    <t>Includes taxpayers who have business activities on Oahu but whose businesses are located outside Oahu.</t>
  </si>
  <si>
    <t>[d]  Due transition to MAPPS, Maui County did not issue permits April 1 to April 17, 2022.</t>
  </si>
  <si>
    <t xml:space="preserve">[e]  Total includes only residential for Kauai.  </t>
  </si>
  <si>
    <t>[f]  Kauai data unavailable.</t>
  </si>
  <si>
    <t>[g]  Inventory available only for Honolulu and Maui County.</t>
  </si>
  <si>
    <t>Source: Hawaii Department of Business, Economic Development and Tourism; Hawaii Department of Taxation; county building departments;</t>
  </si>
  <si>
    <t>Honolulu Board of REALTORS, Hawaii Information Service, Hawaii Realtors, Kauai Board of Realtors, Realtors Association of Maui, Inc., Title Guaranty of</t>
  </si>
  <si>
    <t>Hawaii. Final tables compiled by Statistics &amp; Data Support Branch, READ, DBEDT</t>
  </si>
  <si>
    <t>SERIES</t>
  </si>
  <si>
    <t>General excise &amp; use tax rev. ($1,000) (Level 1)</t>
  </si>
  <si>
    <t>Income-individual ($1,000) (Level 1)</t>
  </si>
  <si>
    <t>Declaration estimated taxes (Level 2)</t>
  </si>
  <si>
    <t>Payment w/returns (Level 2)</t>
  </si>
  <si>
    <t>WH tax on wages (Level 2)</t>
  </si>
  <si>
    <t>Refunds ('-' is relative to State) (Level 2)</t>
  </si>
  <si>
    <t>Transient accommodations tax ($1,000) (Level 1)</t>
  </si>
  <si>
    <t>County surcharges ($1,000) (Level 1) [c]</t>
  </si>
  <si>
    <t>Civilian labor force NSA, persons  (Level 1) (Note 1)</t>
  </si>
  <si>
    <t>Civilian employed NSA (Level 2) (Note 1)</t>
  </si>
  <si>
    <t>Civilian unemployed NSA (Level 2) (Note 1)</t>
  </si>
  <si>
    <t>Unemployment rate NSA (Note 1, 2)</t>
  </si>
  <si>
    <t>Total wage and salary jobs NSA  (Level 1) (Note 1)</t>
  </si>
  <si>
    <t>Agriculture wage and salary jobs NSA (Level 1) (Note 1)</t>
  </si>
  <si>
    <t>County surcharges ($1,000) (Level 1) (Note 3)</t>
  </si>
  <si>
    <t>GEOGRAPHY</t>
  </si>
  <si>
    <t>July 2025 through June 2026 FISCAL YEAR YTD</t>
  </si>
  <si>
    <t>FISCAL YEAR YTD Percentage Change</t>
  </si>
  <si>
    <t>State general fund tax revenues ($1,000)</t>
  </si>
  <si>
    <t xml:space="preserve">General excise &amp; use tax rev.  ($1,000) </t>
  </si>
  <si>
    <t>Income-individual ($1,000)</t>
  </si>
  <si>
    <t>Declaration estimated taxes</t>
  </si>
  <si>
    <t>Payment w/returns</t>
  </si>
  <si>
    <t xml:space="preserve">WH tax on wages </t>
  </si>
  <si>
    <t>Refunds ('-' is relative to State)</t>
  </si>
  <si>
    <t>Transient accommodations tax ($1,000)</t>
  </si>
  <si>
    <t>County surcharges ($1,000) (Note 1)</t>
  </si>
  <si>
    <t>Hawaii County</t>
  </si>
  <si>
    <t>Note 1.  0.5% added to the general excise tax to pay for O‘ahu‘s mass transit system and took effect January 1, 2007.</t>
  </si>
  <si>
    <t>JULY 2026</t>
  </si>
  <si>
    <t>January 2026 through July 2026 YTD</t>
  </si>
  <si>
    <t>JULY 2025</t>
  </si>
  <si>
    <t>January 2025 through July 2025 YTD</t>
  </si>
  <si>
    <t>July 2026 through July 2026 FISCAL YEAR YTD</t>
  </si>
  <si>
    <t>MONTH OF JULY 2026</t>
  </si>
  <si>
    <t>MONTHLY ECONOMIC INDICATORS: STATE_AUGUST 27, 2026</t>
  </si>
  <si>
    <t>MONTHLY ECONOMIC INDICATORS: HAWAII_AUGUST 27, 2026</t>
  </si>
  <si>
    <t>MONTHLY ECONOMIC INDICATORS: MAUI_AUGUST 27, 2026</t>
  </si>
  <si>
    <t>MONTHLY ECONOMIC INDICATORS: KAUAI_AUGUST 27, 2026</t>
  </si>
  <si>
    <t>MONTHLY ECONOMIC INDICATORS: BY MONTH AND FISCAL YEAR_AUGUST 27, 2026</t>
  </si>
  <si>
    <t>MONTHLY ECONOMIC INDICATORS: STATE and COUNTIES_SEPTEMBER 2, 2026</t>
  </si>
  <si>
    <t>SEASONALLY ADJUSTED EMPLOYMENT AND JOB DATA:  SEPTEMBER 2, 2026</t>
  </si>
  <si>
    <t>Seasonally-adjusted state and Honolulu and Maui jobs data for July 2026 preliminary were available on Septembet 2, 2026.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</si>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</sst>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#,##0.0\ "/>
    <numFmt numFmtId="166" formatCode="#,##0\ "/>
    <numFmt numFmtId="167" formatCode="\ \ \ \ \ \ \ @"/>
    <numFmt numFmtId="168" formatCode="0.0\ \ \ \ "/>
    <numFmt numFmtId="169" formatCode="0.0"/>
    <numFmt numFmtId="170" formatCode="@\ "/>
  </numFmts>
  <fonts count="13" x14ac:knownFonts="1">
    <font>
      <sz val="10"/>
      <name val="Arial"/>
    </font>
    <font>
      <sz val="12"/>
      <color theme="1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sz val="10"/>
      <name val="MS Sans Serif"/>
      <family val="2"/>
    </font>
    <font>
      <b/>
      <sz val="12"/>
      <name val="Segoe UI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u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2" fillId="0" borderId="0"/>
    <xf numFmtId="43" fontId="2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164" fontId="2" fillId="0" borderId="0" xfId="1" applyNumberFormat="1"/>
    <xf numFmtId="164" fontId="3" fillId="0" borderId="0" xfId="1" applyNumberFormat="1" applyFont="1" applyAlignment="1">
      <alignment horizontal="centerContinuous" vertical="top"/>
    </xf>
    <xf numFmtId="0" fontId="2" fillId="0" borderId="0" xfId="0" applyFont="1" applyAlignment="1">
      <alignment vertical="top"/>
    </xf>
    <xf numFmtId="167" fontId="2" fillId="0" borderId="0" xfId="0" applyNumberFormat="1" applyFont="1"/>
    <xf numFmtId="0" fontId="3" fillId="0" borderId="0" xfId="0" applyFont="1" applyAlignment="1">
      <alignment horizontal="centerContinuous" vertical="top"/>
    </xf>
    <xf numFmtId="0" fontId="6" fillId="0" borderId="0" xfId="0" applyFont="1" applyAlignment="1">
      <alignment horizontal="centerContinuous" vertical="center"/>
    </xf>
    <xf numFmtId="167" fontId="2" fillId="0" borderId="0" xfId="0" applyNumberFormat="1" applyFont="1" applyAlignment="1">
      <alignment horizontal="centerContinuous"/>
    </xf>
    <xf numFmtId="17" fontId="2" fillId="0" borderId="0" xfId="0" quotePrefix="1" applyNumberFormat="1" applyFont="1"/>
    <xf numFmtId="164" fontId="3" fillId="0" borderId="0" xfId="1" applyNumberFormat="1" applyFont="1" applyAlignment="1">
      <alignment horizontal="center" vertical="top"/>
    </xf>
    <xf numFmtId="0" fontId="2" fillId="0" borderId="0" xfId="0" applyFont="1" applyAlignment="1">
      <alignment vertical="center"/>
    </xf>
    <xf numFmtId="3" fontId="4" fillId="2" borderId="9" xfId="1" quotePrefix="1" applyNumberFormat="1" applyFont="1" applyFill="1" applyBorder="1" applyAlignment="1">
      <alignment horizontal="center" vertical="center" wrapText="1"/>
    </xf>
    <xf numFmtId="3" fontId="4" fillId="2" borderId="3" xfId="1" quotePrefix="1" applyNumberFormat="1" applyFont="1" applyFill="1" applyBorder="1" applyAlignment="1">
      <alignment horizontal="center" vertical="center" wrapText="1"/>
    </xf>
    <xf numFmtId="0" fontId="7" fillId="0" borderId="10" xfId="6" quotePrefix="1" applyBorder="1" applyAlignment="1">
      <alignment horizontal="left" vertical="center"/>
    </xf>
    <xf numFmtId="0" fontId="7" fillId="0" borderId="7" xfId="6" applyBorder="1" applyAlignment="1">
      <alignment vertical="center"/>
    </xf>
    <xf numFmtId="0" fontId="7" fillId="0" borderId="7" xfId="6" quotePrefix="1" applyBorder="1" applyAlignment="1">
      <alignment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/>
    </xf>
    <xf numFmtId="165" fontId="9" fillId="0" borderId="0" xfId="1" applyNumberFormat="1" applyFont="1" applyAlignment="1">
      <alignment horizontal="centerContinuous"/>
    </xf>
    <xf numFmtId="166" fontId="9" fillId="0" borderId="0" xfId="1" applyNumberFormat="1" applyFont="1" applyAlignment="1">
      <alignment horizontal="centerContinuous"/>
    </xf>
    <xf numFmtId="168" fontId="9" fillId="0" borderId="0" xfId="1" applyNumberFormat="1" applyFont="1" applyAlignment="1">
      <alignment horizontal="centerContinuous"/>
    </xf>
    <xf numFmtId="0" fontId="9" fillId="0" borderId="0" xfId="0" applyFont="1" applyAlignment="1">
      <alignment horizontal="centerContinuous" vertical="top"/>
    </xf>
    <xf numFmtId="165" fontId="9" fillId="0" borderId="0" xfId="1" applyNumberFormat="1" applyFont="1" applyAlignment="1">
      <alignment horizontal="centerContinuous" vertical="top"/>
    </xf>
    <xf numFmtId="166" fontId="9" fillId="0" borderId="0" xfId="1" applyNumberFormat="1" applyFont="1" applyAlignment="1">
      <alignment horizontal="centerContinuous" vertical="top"/>
    </xf>
    <xf numFmtId="168" fontId="9" fillId="0" borderId="0" xfId="1" applyNumberFormat="1" applyFont="1" applyAlignment="1">
      <alignment horizontal="centerContinuous" vertical="top"/>
    </xf>
    <xf numFmtId="0" fontId="10" fillId="0" borderId="0" xfId="0" applyFont="1" applyAlignment="1">
      <alignment horizontal="centerContinuous"/>
    </xf>
    <xf numFmtId="0" fontId="10" fillId="0" borderId="0" xfId="0" applyFont="1"/>
    <xf numFmtId="0" fontId="10" fillId="0" borderId="0" xfId="0" applyFont="1" applyAlignment="1">
      <alignment horizontal="centerContinuous" vertical="top"/>
    </xf>
    <xf numFmtId="49" fontId="11" fillId="0" borderId="6" xfId="0" applyNumberFormat="1" applyFont="1" applyBorder="1" applyAlignment="1">
      <alignment horizontal="center" wrapText="1"/>
    </xf>
    <xf numFmtId="3" fontId="11" fillId="0" borderId="1" xfId="1" quotePrefix="1" applyNumberFormat="1" applyFont="1" applyBorder="1" applyAlignment="1">
      <alignment horizontal="center" wrapText="1"/>
    </xf>
    <xf numFmtId="3" fontId="9" fillId="0" borderId="6" xfId="1" quotePrefix="1" applyNumberFormat="1" applyFont="1" applyBorder="1" applyAlignment="1">
      <alignment horizontal="center" wrapText="1"/>
    </xf>
    <xf numFmtId="3" fontId="11" fillId="2" borderId="6" xfId="0" applyNumberFormat="1" applyFont="1" applyFill="1" applyBorder="1" applyAlignment="1">
      <alignment horizontal="center" wrapText="1"/>
    </xf>
    <xf numFmtId="3" fontId="11" fillId="0" borderId="1" xfId="0" applyNumberFormat="1" applyFont="1" applyBorder="1" applyAlignment="1">
      <alignment horizontal="center" wrapText="1"/>
    </xf>
    <xf numFmtId="3" fontId="11" fillId="0" borderId="1" xfId="0" quotePrefix="1" applyNumberFormat="1" applyFont="1" applyBorder="1" applyAlignment="1">
      <alignment horizontal="center" wrapText="1"/>
    </xf>
    <xf numFmtId="3" fontId="11" fillId="0" borderId="8" xfId="0" applyNumberFormat="1" applyFont="1" applyBorder="1" applyAlignment="1">
      <alignment horizontal="center" wrapText="1"/>
    </xf>
    <xf numFmtId="3" fontId="10" fillId="0" borderId="2" xfId="0" quotePrefix="1" applyNumberFormat="1" applyFont="1" applyBorder="1"/>
    <xf numFmtId="166" fontId="10" fillId="0" borderId="2" xfId="2" applyNumberFormat="1" applyFont="1" applyFill="1" applyBorder="1"/>
    <xf numFmtId="166" fontId="10" fillId="0" borderId="2" xfId="2" applyNumberFormat="1" applyFont="1" applyFill="1" applyBorder="1" applyAlignment="1">
      <alignment horizontal="right"/>
    </xf>
    <xf numFmtId="165" fontId="10" fillId="0" borderId="2" xfId="2" applyNumberFormat="1" applyFont="1" applyFill="1" applyBorder="1"/>
    <xf numFmtId="165" fontId="10" fillId="0" borderId="2" xfId="2" applyNumberFormat="1" applyFont="1" applyFill="1" applyBorder="1" applyAlignment="1">
      <alignment horizontal="right"/>
    </xf>
    <xf numFmtId="3" fontId="10" fillId="0" borderId="2" xfId="0" applyNumberFormat="1" applyFont="1" applyBorder="1"/>
    <xf numFmtId="170" fontId="10" fillId="0" borderId="5" xfId="2" applyNumberFormat="1" applyFont="1" applyFill="1" applyBorder="1" applyAlignment="1">
      <alignment horizontal="right"/>
    </xf>
    <xf numFmtId="170" fontId="10" fillId="0" borderId="2" xfId="2" applyNumberFormat="1" applyFont="1" applyFill="1" applyBorder="1" applyAlignment="1">
      <alignment horizontal="right"/>
    </xf>
    <xf numFmtId="166" fontId="10" fillId="0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3" fontId="10" fillId="0" borderId="4" xfId="0" applyNumberFormat="1" applyFont="1" applyBorder="1"/>
    <xf numFmtId="166" fontId="10" fillId="0" borderId="4" xfId="2" applyNumberFormat="1" applyFont="1" applyFill="1" applyBorder="1"/>
    <xf numFmtId="165" fontId="10" fillId="0" borderId="4" xfId="2" applyNumberFormat="1" applyFont="1" applyFill="1" applyBorder="1"/>
    <xf numFmtId="49" fontId="10" fillId="0" borderId="0" xfId="0" applyNumberFormat="1" applyFont="1"/>
    <xf numFmtId="3" fontId="10" fillId="0" borderId="0" xfId="0" applyNumberFormat="1" applyFont="1"/>
    <xf numFmtId="3" fontId="10" fillId="0" borderId="0" xfId="1" applyNumberFormat="1" applyFont="1"/>
    <xf numFmtId="3" fontId="10" fillId="0" borderId="0" xfId="1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69" fontId="10" fillId="0" borderId="0" xfId="1" applyNumberFormat="1" applyFont="1"/>
    <xf numFmtId="169" fontId="10" fillId="0" borderId="0" xfId="0" applyNumberFormat="1" applyFont="1" applyAlignment="1">
      <alignment horizontal="center"/>
    </xf>
    <xf numFmtId="167" fontId="10" fillId="0" borderId="0" xfId="0" applyNumberFormat="1" applyFont="1"/>
    <xf numFmtId="164" fontId="10" fillId="0" borderId="0" xfId="1" applyNumberFormat="1" applyFont="1"/>
    <xf numFmtId="165" fontId="10" fillId="0" borderId="0" xfId="1" applyNumberFormat="1" applyFont="1" applyAlignment="1">
      <alignment horizontal="right"/>
    </xf>
    <xf numFmtId="165" fontId="10" fillId="0" borderId="0" xfId="0" applyNumberFormat="1" applyFont="1" applyAlignment="1">
      <alignment horizontal="center"/>
    </xf>
    <xf numFmtId="164" fontId="9" fillId="0" borderId="0" xfId="1" applyNumberFormat="1" applyFont="1" applyAlignment="1">
      <alignment horizontal="centerContinuous"/>
    </xf>
    <xf numFmtId="164" fontId="9" fillId="0" borderId="0" xfId="1" applyNumberFormat="1" applyFont="1" applyAlignment="1">
      <alignment horizontal="centerContinuous" vertical="top"/>
    </xf>
    <xf numFmtId="164" fontId="10" fillId="0" borderId="0" xfId="1" applyNumberFormat="1" applyFont="1" applyAlignment="1">
      <alignment horizontal="centerContinuous"/>
    </xf>
    <xf numFmtId="17" fontId="10" fillId="0" borderId="0" xfId="0" applyNumberFormat="1" applyFont="1"/>
    <xf numFmtId="3" fontId="9" fillId="0" borderId="1" xfId="0" applyNumberFormat="1" applyFont="1" applyBorder="1" applyAlignment="1">
      <alignment horizontal="center" wrapText="1"/>
    </xf>
    <xf numFmtId="3" fontId="9" fillId="0" borderId="1" xfId="1" quotePrefix="1" applyNumberFormat="1" applyFont="1" applyBorder="1" applyAlignment="1">
      <alignment horizontal="center" wrapText="1"/>
    </xf>
    <xf numFmtId="3" fontId="11" fillId="2" borderId="1" xfId="0" applyNumberFormat="1" applyFont="1" applyFill="1" applyBorder="1" applyAlignment="1">
      <alignment horizontal="center" wrapText="1"/>
    </xf>
    <xf numFmtId="0" fontId="9" fillId="0" borderId="0" xfId="0" applyFont="1"/>
    <xf numFmtId="0" fontId="10" fillId="0" borderId="2" xfId="0" applyFont="1" applyBorder="1"/>
    <xf numFmtId="166" fontId="10" fillId="0" borderId="11" xfId="2" applyNumberFormat="1" applyFont="1" applyFill="1" applyBorder="1" applyAlignment="1">
      <alignment horizontal="right"/>
    </xf>
    <xf numFmtId="165" fontId="10" fillId="0" borderId="11" xfId="2" applyNumberFormat="1" applyFont="1" applyFill="1" applyBorder="1" applyAlignment="1">
      <alignment horizontal="right"/>
    </xf>
    <xf numFmtId="0" fontId="10" fillId="0" borderId="2" xfId="0" applyFont="1" applyBorder="1" applyAlignment="1">
      <alignment horizontal="left" indent="1"/>
    </xf>
    <xf numFmtId="0" fontId="10" fillId="0" borderId="2" xfId="0" applyFont="1" applyBorder="1" applyAlignment="1">
      <alignment horizontal="left"/>
    </xf>
    <xf numFmtId="165" fontId="10" fillId="0" borderId="5" xfId="2" applyNumberFormat="1" applyFont="1" applyFill="1" applyBorder="1" applyAlignment="1">
      <alignment horizontal="right"/>
    </xf>
    <xf numFmtId="0" fontId="10" fillId="0" borderId="2" xfId="0" applyFont="1" applyBorder="1" applyAlignment="1">
      <alignment horizontal="left" indent="2"/>
    </xf>
    <xf numFmtId="0" fontId="10" fillId="0" borderId="2" xfId="0" applyFont="1" applyBorder="1" applyAlignment="1">
      <alignment horizontal="left" indent="3"/>
    </xf>
    <xf numFmtId="0" fontId="10" fillId="0" borderId="4" xfId="0" applyFont="1" applyBorder="1"/>
    <xf numFmtId="166" fontId="10" fillId="0" borderId="4" xfId="2" applyNumberFormat="1" applyFont="1" applyFill="1" applyBorder="1" applyAlignment="1">
      <alignment horizontal="right"/>
    </xf>
    <xf numFmtId="165" fontId="10" fillId="0" borderId="4" xfId="2" applyNumberFormat="1" applyFont="1" applyFill="1" applyBorder="1" applyAlignment="1">
      <alignment horizontal="right"/>
    </xf>
    <xf numFmtId="3" fontId="10" fillId="0" borderId="0" xfId="0" quotePrefix="1" applyNumberFormat="1" applyFont="1" applyAlignment="1">
      <alignment horizontal="left"/>
    </xf>
    <xf numFmtId="169" fontId="10" fillId="0" borderId="0" xfId="0" quotePrefix="1" applyNumberFormat="1" applyFont="1" applyAlignment="1">
      <alignment horizontal="left"/>
    </xf>
    <xf numFmtId="3" fontId="10" fillId="0" borderId="0" xfId="0" applyNumberFormat="1" applyFont="1" applyAlignment="1">
      <alignment horizontal="left"/>
    </xf>
    <xf numFmtId="169" fontId="10" fillId="0" borderId="0" xfId="0" applyNumberFormat="1" applyFont="1" applyAlignment="1">
      <alignment horizontal="left"/>
    </xf>
    <xf numFmtId="17" fontId="11" fillId="2" borderId="1" xfId="0" applyNumberFormat="1" applyFont="1" applyFill="1" applyBorder="1" applyAlignment="1">
      <alignment horizontal="center" wrapText="1"/>
    </xf>
    <xf numFmtId="3" fontId="11" fillId="2" borderId="1" xfId="1" quotePrefix="1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0" fillId="0" borderId="5" xfId="0" applyFont="1" applyBorder="1"/>
    <xf numFmtId="0" fontId="10" fillId="0" borderId="5" xfId="0" quotePrefix="1" applyFont="1" applyBorder="1" applyAlignment="1">
      <alignment horizontal="left" indent="1"/>
    </xf>
    <xf numFmtId="0" fontId="10" fillId="0" borderId="5" xfId="0" quotePrefix="1" applyFont="1" applyBorder="1"/>
    <xf numFmtId="0" fontId="10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 indent="1"/>
    </xf>
    <xf numFmtId="0" fontId="10" fillId="0" borderId="5" xfId="0" applyFont="1" applyBorder="1" applyAlignment="1">
      <alignment horizontal="left" vertical="top" indent="1"/>
    </xf>
    <xf numFmtId="0" fontId="10" fillId="0" borderId="3" xfId="0" applyFont="1" applyBorder="1"/>
    <xf numFmtId="3" fontId="10" fillId="0" borderId="0" xfId="1" applyNumberFormat="1" applyFont="1" applyAlignment="1">
      <alignment horizontal="left"/>
    </xf>
    <xf numFmtId="0" fontId="10" fillId="0" borderId="0" xfId="0" applyFont="1" applyAlignment="1">
      <alignment vertical="top"/>
    </xf>
    <xf numFmtId="166" fontId="10" fillId="0" borderId="5" xfId="2" applyNumberFormat="1" applyFont="1" applyFill="1" applyBorder="1" applyAlignment="1">
      <alignment horizontal="right"/>
    </xf>
    <xf numFmtId="3" fontId="12" fillId="0" borderId="0" xfId="0" applyNumberFormat="1" applyFont="1"/>
    <xf numFmtId="3" fontId="9" fillId="0" borderId="0" xfId="0" applyNumberFormat="1" applyFont="1" applyAlignment="1">
      <alignment horizontal="center"/>
    </xf>
    <xf numFmtId="0" fontId="10" fillId="0" borderId="5" xfId="0" applyFont="1" applyBorder="1" applyAlignment="1">
      <alignment vertical="center"/>
    </xf>
    <xf numFmtId="165" fontId="10" fillId="0" borderId="0" xfId="0" applyNumberFormat="1" applyFont="1" applyAlignment="1">
      <alignment horizontal="centerContinuous"/>
    </xf>
    <xf numFmtId="3" fontId="10" fillId="0" borderId="2" xfId="2" applyNumberFormat="1" applyFont="1" applyFill="1" applyBorder="1" applyAlignment="1">
      <alignment horizontal="right"/>
    </xf>
    <xf numFmtId="165" fontId="10" fillId="0" borderId="0" xfId="1" applyNumberFormat="1" applyFont="1"/>
    <xf numFmtId="3" fontId="10" fillId="0" borderId="12" xfId="0" applyNumberFormat="1" applyFont="1" applyBorder="1" applyAlignment="1">
      <alignment horizontal="center"/>
    </xf>
    <xf numFmtId="165" fontId="10" fillId="0" borderId="12" xfId="0" applyNumberFormat="1" applyFont="1" applyBorder="1" applyAlignment="1">
      <alignment horizontal="center"/>
    </xf>
    <xf numFmtId="164" fontId="10" fillId="0" borderId="12" xfId="1" applyNumberFormat="1" applyFont="1" applyBorder="1"/>
    <xf numFmtId="165" fontId="10" fillId="0" borderId="12" xfId="1" applyNumberFormat="1" applyFont="1" applyBorder="1"/>
    <xf numFmtId="166" fontId="1" fillId="0" borderId="2" xfId="2" applyNumberFormat="1" applyFont="1" applyFill="1" applyBorder="1" applyAlignment="1">
      <alignment horizontal="right"/>
    </xf>
    <xf numFmtId="0" fontId="10" fillId="0" borderId="0" xfId="0" applyFont="1" applyAlignment="1">
      <alignment horizontal="left" indent="1"/>
    </xf>
    <xf numFmtId="0" fontId="10" fillId="0" borderId="0" xfId="1" applyNumberFormat="1" applyFont="1" applyAlignment="1">
      <alignment horizontal="left" indent="1"/>
    </xf>
    <xf numFmtId="49" fontId="10" fillId="0" borderId="0" xfId="0" applyNumberFormat="1" applyFont="1" applyAlignment="1">
      <alignment horizontal="left" indent="1"/>
    </xf>
    <xf numFmtId="49" fontId="10" fillId="0" borderId="0" xfId="0" applyNumberFormat="1" applyFont="1" applyAlignment="1">
      <alignment horizontal="left"/>
    </xf>
    <xf numFmtId="49" fontId="10" fillId="0" borderId="12" xfId="0" applyNumberFormat="1" applyFont="1" applyBorder="1" applyAlignment="1">
      <alignment horizontal="left"/>
    </xf>
    <xf numFmtId="165" fontId="1" fillId="0" borderId="2" xfId="2" applyNumberFormat="1" applyFont="1" applyFill="1" applyBorder="1" applyAlignment="1">
      <alignment horizontal="right"/>
    </xf>
  </cellXfs>
  <cellStyles count="7">
    <cellStyle name="Comma" xfId="1" builtinId="3"/>
    <cellStyle name="Comma 2" xfId="2" xr:uid="{30164599-B618-4B1F-A60A-F51BD1E2602B}"/>
    <cellStyle name="Comma 6 2" xfId="5" xr:uid="{EDD2D81C-EA1E-4150-9DCF-FAB1E8047C4E}"/>
    <cellStyle name="Comma 8" xfId="4" xr:uid="{EBC432FB-86DC-4C27-A66F-9DDEC92B7629}"/>
    <cellStyle name="Hyperlink" xfId="6" builtinId="8"/>
    <cellStyle name="Normal" xfId="0" builtinId="0"/>
    <cellStyle name="Normal 15" xfId="3" xr:uid="{3D10A37A-3B5A-4D9A-8A8B-976BF1FCD211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waiioimt.sharepoint.com/teams/DBEDTREAD-Files/Shared%20Documents/General/Public/EPIS/MEI/MEI%20Worksheet%202006-26_inaug230420.xlsx" TargetMode="External"/><Relationship Id="rId1" Type="http://schemas.openxmlformats.org/officeDocument/2006/relationships/externalLinkPath" Target="MEI%20Worksheet%202006-26_inaug2304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AQT6VkNb5U-Aw7qrpIAre5eaXzDYPwREnB18bBLL12KtaoJ9BA_3RqTjRPMAzhlC" itemId="01D3BMHYY37MNJG6HEQZJZORXE4MV6R46Q">
      <xxl21:absoluteUrl r:id="rId2"/>
    </xxl21:alternateUrls>
    <sheetNames>
      <sheetName val="COMBO_frmls"/>
      <sheetName val="Link Report"/>
      <sheetName val="COMBO_for Gemini_260819"/>
      <sheetName val="COMBO_frmls_to TRANS"/>
      <sheetName val="EDWH Hotel_on260616"/>
      <sheetName val="Dec08 MEI_via LL 090126_160126"/>
      <sheetName val="STATE_MEI current_TRANS"/>
      <sheetName val="Honolulu_MEI current_TRANS"/>
      <sheetName val="Hawaii MEI current_TRANS"/>
      <sheetName val="Maui Cty_MEI current_TRANS"/>
      <sheetName val="Kauai Cty_MEI current_TRANS"/>
      <sheetName val="STATE_2026-07p"/>
      <sheetName val="Honolulu_2026-07p"/>
      <sheetName val="Hawaii Cty_2026-07p"/>
      <sheetName val="Maui Cty_2026-07p"/>
      <sheetName val="Kauai Cty_2026-07p"/>
      <sheetName val="DW"/>
      <sheetName val="SA_DW"/>
      <sheetName val="DW_241219 values"/>
      <sheetName val="SA_DW_241219 values"/>
      <sheetName val="Maui Cty_2024-06p_CHK"/>
    </sheetNames>
    <sheetDataSet>
      <sheetData sheetId="0">
        <row r="75">
          <cell r="PZ75">
            <v>474750</v>
          </cell>
          <cell r="QA75">
            <v>475650</v>
          </cell>
          <cell r="QB75">
            <v>0.18957345971563982</v>
          </cell>
          <cell r="QC75">
            <v>476750</v>
          </cell>
          <cell r="QD75">
            <v>477000</v>
          </cell>
          <cell r="QE75">
            <v>5.2438384897745147E-2</v>
          </cell>
        </row>
        <row r="76">
          <cell r="PZ76">
            <v>464500</v>
          </cell>
          <cell r="QA76">
            <v>462500</v>
          </cell>
          <cell r="QB76">
            <v>-0.4305705059203444</v>
          </cell>
          <cell r="QC76">
            <v>465900</v>
          </cell>
          <cell r="QD76">
            <v>465350</v>
          </cell>
          <cell r="QE76">
            <v>-0.11805108392358875</v>
          </cell>
        </row>
        <row r="77">
          <cell r="PZ77">
            <v>10250</v>
          </cell>
          <cell r="QA77">
            <v>13200</v>
          </cell>
          <cell r="QB77">
            <v>28.780487804878046</v>
          </cell>
          <cell r="QC77">
            <v>10850</v>
          </cell>
          <cell r="QD77">
            <v>11650</v>
          </cell>
          <cell r="QE77">
            <v>7.3732718894009217</v>
          </cell>
        </row>
        <row r="78">
          <cell r="PZ78">
            <v>2.2000000000000002</v>
          </cell>
          <cell r="QA78">
            <v>2.8</v>
          </cell>
          <cell r="QB78">
            <v>0.59999999999999964</v>
          </cell>
          <cell r="QC78">
            <v>2.3000000000000003</v>
          </cell>
          <cell r="QD78">
            <v>2.4000000000000004</v>
          </cell>
          <cell r="QE78">
            <v>0.10000000000000009</v>
          </cell>
        </row>
        <row r="81">
          <cell r="PZ81">
            <v>457700</v>
          </cell>
          <cell r="QA81">
            <v>457200</v>
          </cell>
          <cell r="QB81">
            <v>-0.10924186148131965</v>
          </cell>
          <cell r="QC81">
            <v>462200</v>
          </cell>
          <cell r="QD81">
            <v>462000</v>
          </cell>
          <cell r="QE81">
            <v>-4.3271311120726956E-2</v>
          </cell>
        </row>
        <row r="82">
          <cell r="PZ82">
            <v>29200</v>
          </cell>
          <cell r="QA82">
            <v>29700</v>
          </cell>
          <cell r="QB82">
            <v>1.7123287671232876</v>
          </cell>
          <cell r="QC82">
            <v>28800</v>
          </cell>
          <cell r="QD82">
            <v>29500</v>
          </cell>
          <cell r="QE82">
            <v>2.4305555555555558</v>
          </cell>
        </row>
        <row r="83">
          <cell r="PZ83">
            <v>9700</v>
          </cell>
          <cell r="QA83">
            <v>9600</v>
          </cell>
          <cell r="QB83">
            <v>-1.0309278350515463</v>
          </cell>
          <cell r="QC83">
            <v>9700</v>
          </cell>
          <cell r="QD83">
            <v>9700</v>
          </cell>
          <cell r="QE83">
            <v>0</v>
          </cell>
        </row>
        <row r="84">
          <cell r="PZ84">
            <v>13600</v>
          </cell>
          <cell r="QA84">
            <v>13600</v>
          </cell>
          <cell r="QB84">
            <v>0</v>
          </cell>
          <cell r="QC84">
            <v>13600</v>
          </cell>
          <cell r="QD84">
            <v>13900</v>
          </cell>
          <cell r="QE84">
            <v>2.2058823529411766</v>
          </cell>
        </row>
        <row r="85">
          <cell r="PZ85">
            <v>41500</v>
          </cell>
          <cell r="QA85">
            <v>40700</v>
          </cell>
          <cell r="QB85">
            <v>-1.9277108433734942</v>
          </cell>
          <cell r="QC85">
            <v>41400</v>
          </cell>
          <cell r="QD85">
            <v>41100</v>
          </cell>
          <cell r="QE85">
            <v>-0.72463768115942029</v>
          </cell>
        </row>
        <row r="86">
          <cell r="PZ86">
            <v>26200</v>
          </cell>
          <cell r="QA86">
            <v>25600</v>
          </cell>
          <cell r="QB86">
            <v>-2.2900763358778624</v>
          </cell>
          <cell r="QC86">
            <v>25900</v>
          </cell>
          <cell r="QD86">
            <v>25500</v>
          </cell>
          <cell r="QE86">
            <v>-1.5444015444015444</v>
          </cell>
        </row>
        <row r="87">
          <cell r="PZ87">
            <v>5500</v>
          </cell>
          <cell r="QA87">
            <v>5700</v>
          </cell>
          <cell r="QB87">
            <v>3.6363636363636362</v>
          </cell>
          <cell r="QC87">
            <v>5600</v>
          </cell>
          <cell r="QD87">
            <v>5700</v>
          </cell>
          <cell r="QE87">
            <v>1.7857142857142856</v>
          </cell>
        </row>
        <row r="88">
          <cell r="PZ88">
            <v>20800</v>
          </cell>
          <cell r="QA88">
            <v>19900</v>
          </cell>
          <cell r="QB88">
            <v>-4.3269230769230766</v>
          </cell>
          <cell r="QC88">
            <v>20600</v>
          </cell>
          <cell r="QD88">
            <v>20100</v>
          </cell>
          <cell r="QE88">
            <v>-2.4271844660194173</v>
          </cell>
        </row>
        <row r="89">
          <cell r="PZ89">
            <v>56000</v>
          </cell>
          <cell r="QA89">
            <v>55900</v>
          </cell>
          <cell r="QB89">
            <v>-0.17857142857142858</v>
          </cell>
          <cell r="QC89">
            <v>56200</v>
          </cell>
          <cell r="QD89">
            <v>56500</v>
          </cell>
          <cell r="QE89">
            <v>0.53380782918149472</v>
          </cell>
        </row>
        <row r="90">
          <cell r="PZ90">
            <v>11300</v>
          </cell>
          <cell r="QA90">
            <v>11400</v>
          </cell>
          <cell r="QB90">
            <v>0.88495575221238942</v>
          </cell>
          <cell r="QC90">
            <v>11700</v>
          </cell>
          <cell r="QD90">
            <v>11700</v>
          </cell>
          <cell r="QE90">
            <v>0</v>
          </cell>
        </row>
        <row r="91">
          <cell r="PZ91">
            <v>57200</v>
          </cell>
          <cell r="QA91">
            <v>59400</v>
          </cell>
          <cell r="QB91">
            <v>3.8461538461538463</v>
          </cell>
          <cell r="QC91">
            <v>57200</v>
          </cell>
          <cell r="QD91">
            <v>58800</v>
          </cell>
          <cell r="QE91">
            <v>2.7972027972027971</v>
          </cell>
        </row>
        <row r="92">
          <cell r="PZ92">
            <v>8300</v>
          </cell>
          <cell r="QA92">
            <v>8700</v>
          </cell>
          <cell r="QB92">
            <v>4.8192771084337354</v>
          </cell>
          <cell r="QC92">
            <v>8300</v>
          </cell>
          <cell r="QD92">
            <v>8500</v>
          </cell>
          <cell r="QE92">
            <v>2.4096385542168677</v>
          </cell>
        </row>
        <row r="93">
          <cell r="PZ93">
            <v>18200</v>
          </cell>
          <cell r="QA93">
            <v>18800</v>
          </cell>
          <cell r="QB93">
            <v>3.296703296703297</v>
          </cell>
          <cell r="QC93">
            <v>18300</v>
          </cell>
          <cell r="QD93">
            <v>18700</v>
          </cell>
          <cell r="QE93">
            <v>2.1857923497267762</v>
          </cell>
        </row>
        <row r="94">
          <cell r="PZ94">
            <v>46500</v>
          </cell>
          <cell r="QA94">
            <v>46700</v>
          </cell>
          <cell r="QB94">
            <v>0.43010752688172044</v>
          </cell>
          <cell r="QC94">
            <v>46300</v>
          </cell>
          <cell r="QD94">
            <v>46600</v>
          </cell>
          <cell r="QE94">
            <v>0.64794816414686829</v>
          </cell>
        </row>
        <row r="95">
          <cell r="PZ95">
            <v>20200</v>
          </cell>
          <cell r="QA95">
            <v>19800</v>
          </cell>
          <cell r="QB95">
            <v>-1.9801980198019802</v>
          </cell>
          <cell r="QC95">
            <v>20200</v>
          </cell>
          <cell r="QD95">
            <v>20000</v>
          </cell>
          <cell r="QE95">
            <v>-0.99009900990099009</v>
          </cell>
        </row>
        <row r="96">
          <cell r="PZ96">
            <v>93500</v>
          </cell>
          <cell r="QA96">
            <v>91700</v>
          </cell>
          <cell r="QB96">
            <v>-1.9251336898395723</v>
          </cell>
          <cell r="QC96">
            <v>98400</v>
          </cell>
          <cell r="QD96">
            <v>95900</v>
          </cell>
          <cell r="QE96">
            <v>-2.5406504065040649</v>
          </cell>
        </row>
        <row r="97">
          <cell r="PZ97">
            <v>32299.999999999996</v>
          </cell>
          <cell r="QA97">
            <v>29700</v>
          </cell>
          <cell r="QB97">
            <v>-8.0495356037151602</v>
          </cell>
          <cell r="QC97">
            <v>32600</v>
          </cell>
          <cell r="QD97">
            <v>29900</v>
          </cell>
          <cell r="QE97">
            <v>-8.2822085889570545</v>
          </cell>
        </row>
        <row r="98">
          <cell r="PZ98">
            <v>49000</v>
          </cell>
          <cell r="QA98">
            <v>49300</v>
          </cell>
          <cell r="QB98">
            <v>0.61224489795918369</v>
          </cell>
          <cell r="QC98">
            <v>53700</v>
          </cell>
          <cell r="QD98">
            <v>53500</v>
          </cell>
          <cell r="QE98">
            <v>-0.37243947858472998</v>
          </cell>
        </row>
        <row r="99">
          <cell r="PZ99">
            <v>12200</v>
          </cell>
          <cell r="QA99">
            <v>12700</v>
          </cell>
          <cell r="QB99">
            <v>4.0983606557377046</v>
          </cell>
          <cell r="QC99">
            <v>12100</v>
          </cell>
          <cell r="QD99">
            <v>12500</v>
          </cell>
          <cell r="QE99">
            <v>3.3057851239669422</v>
          </cell>
        </row>
        <row r="110">
          <cell r="PZ110">
            <v>33384.8295</v>
          </cell>
          <cell r="QA110">
            <v>35738.050000000003</v>
          </cell>
          <cell r="QB110">
            <v>7.0487719579337762</v>
          </cell>
          <cell r="QC110">
            <v>217456.44834999999</v>
          </cell>
          <cell r="QD110">
            <v>217167.56868000003</v>
          </cell>
          <cell r="QE110">
            <v>-0.13284483959519505</v>
          </cell>
        </row>
        <row r="112">
          <cell r="PZ112">
            <v>198810.61516000002</v>
          </cell>
          <cell r="QA112">
            <v>45217.07</v>
          </cell>
          <cell r="QB112">
            <v>-77.256209401288785</v>
          </cell>
          <cell r="QC112">
            <v>2203941.0531699997</v>
          </cell>
          <cell r="QD112">
            <v>1326153.0461599999</v>
          </cell>
          <cell r="QE112">
            <v>-39.828107278434189</v>
          </cell>
        </row>
        <row r="113">
          <cell r="PZ113">
            <v>86229.787400000001</v>
          </cell>
          <cell r="QA113">
            <v>45217.07</v>
          </cell>
          <cell r="QB113">
            <v>-47.562122830886167</v>
          </cell>
          <cell r="QC113">
            <v>1121196.7121000001</v>
          </cell>
          <cell r="QD113">
            <v>474512.23749999999</v>
          </cell>
          <cell r="QE113">
            <v>-57.678056635464159</v>
          </cell>
        </row>
        <row r="114">
          <cell r="PZ114">
            <v>2130.1628999999998</v>
          </cell>
          <cell r="QC114">
            <v>198470.52051999999</v>
          </cell>
        </row>
        <row r="115">
          <cell r="PZ115">
            <v>110450.66486000002</v>
          </cell>
          <cell r="QC115">
            <v>884273.82055000006</v>
          </cell>
        </row>
        <row r="117">
          <cell r="PZ117">
            <v>249</v>
          </cell>
          <cell r="QA117">
            <v>300</v>
          </cell>
          <cell r="QB117">
            <v>20.481927710843372</v>
          </cell>
          <cell r="QC117">
            <v>1583</v>
          </cell>
          <cell r="QD117">
            <v>1686</v>
          </cell>
          <cell r="QE117">
            <v>6.5066329753632344</v>
          </cell>
        </row>
        <row r="118">
          <cell r="PZ118">
            <v>1075000</v>
          </cell>
          <cell r="QA118">
            <v>1224500</v>
          </cell>
          <cell r="QB118">
            <v>13.906976744186048</v>
          </cell>
          <cell r="QC118">
            <v>1150000</v>
          </cell>
          <cell r="QD118">
            <v>1185000</v>
          </cell>
          <cell r="QE118">
            <v>3.0434782608695654</v>
          </cell>
        </row>
        <row r="119">
          <cell r="PZ119">
            <v>852</v>
          </cell>
          <cell r="QA119">
            <v>802</v>
          </cell>
          <cell r="QB119">
            <v>-5.868544600938967</v>
          </cell>
          <cell r="QC119">
            <v>795.85714285714289</v>
          </cell>
          <cell r="QD119">
            <v>722.57142857142856</v>
          </cell>
          <cell r="QE119">
            <v>-9.2084006462035592</v>
          </cell>
        </row>
        <row r="120">
          <cell r="PZ120">
            <v>389</v>
          </cell>
          <cell r="QA120">
            <v>416</v>
          </cell>
          <cell r="QB120">
            <v>6.9408740359897179</v>
          </cell>
          <cell r="QC120">
            <v>2490</v>
          </cell>
          <cell r="QD120">
            <v>2469</v>
          </cell>
          <cell r="QE120">
            <v>-0.84337349397590367</v>
          </cell>
        </row>
        <row r="121">
          <cell r="PZ121">
            <v>490000</v>
          </cell>
          <cell r="QA121">
            <v>504500</v>
          </cell>
          <cell r="QB121">
            <v>2.9591836734693877</v>
          </cell>
          <cell r="QC121">
            <v>500765</v>
          </cell>
          <cell r="QD121">
            <v>513386</v>
          </cell>
          <cell r="QE121">
            <v>2.5203438738729744</v>
          </cell>
        </row>
        <row r="122">
          <cell r="PZ122">
            <v>2459</v>
          </cell>
          <cell r="QA122">
            <v>2554</v>
          </cell>
          <cell r="QB122">
            <v>3.863359089060594</v>
          </cell>
          <cell r="QC122">
            <v>2374.1428571428573</v>
          </cell>
          <cell r="QD122">
            <v>2371.2857142857142</v>
          </cell>
          <cell r="QE122">
            <v>-0.12034418436730138</v>
          </cell>
        </row>
        <row r="124">
          <cell r="PZ124">
            <v>3668278.3992574289</v>
          </cell>
          <cell r="QA124">
            <v>3226835.2766657239</v>
          </cell>
          <cell r="QB124">
            <v>-12.034068152544435</v>
          </cell>
          <cell r="QC124">
            <v>24071292.309085444</v>
          </cell>
          <cell r="QD124">
            <v>23783279.162264861</v>
          </cell>
          <cell r="QE124">
            <v>-1.1965005581020471</v>
          </cell>
        </row>
        <row r="125">
          <cell r="PZ125">
            <v>2868677.4803614165</v>
          </cell>
          <cell r="QA125">
            <v>2457083.7408069931</v>
          </cell>
          <cell r="QB125">
            <v>-14.347856891272695</v>
          </cell>
          <cell r="QC125">
            <v>18168068.464051075</v>
          </cell>
          <cell r="QD125">
            <v>17992146.294434585</v>
          </cell>
          <cell r="QE125">
            <v>-0.96830419790956623</v>
          </cell>
        </row>
        <row r="126">
          <cell r="PZ126">
            <v>799600.91889601247</v>
          </cell>
          <cell r="QA126">
            <v>769751.53585873055</v>
          </cell>
          <cell r="QB126">
            <v>-3.7330351093760825</v>
          </cell>
          <cell r="QC126">
            <v>5903223.8450343683</v>
          </cell>
          <cell r="QD126">
            <v>5791132.8678302774</v>
          </cell>
          <cell r="QE126">
            <v>-1.8988095343594129</v>
          </cell>
        </row>
        <row r="127">
          <cell r="PZ127">
            <v>518561.87397064012</v>
          </cell>
          <cell r="QA127">
            <v>499197.11408603779</v>
          </cell>
          <cell r="QB127">
            <v>-3.7343200217026995</v>
          </cell>
          <cell r="QC127">
            <v>3399476.8011008343</v>
          </cell>
          <cell r="QD127">
            <v>3387130.5388186164</v>
          </cell>
          <cell r="QE127">
            <v>-0.36318124830914655</v>
          </cell>
        </row>
        <row r="128">
          <cell r="PZ128">
            <v>402020.02840086591</v>
          </cell>
          <cell r="QA128">
            <v>387170.68844594382</v>
          </cell>
          <cell r="QB128">
            <v>-3.6936816342183287</v>
          </cell>
          <cell r="QC128">
            <v>2582435.3834698764</v>
          </cell>
          <cell r="QD128">
            <v>2550569.921136904</v>
          </cell>
          <cell r="QE128">
            <v>-1.233930674004182</v>
          </cell>
        </row>
        <row r="129">
          <cell r="PZ129">
            <v>116541.84556977419</v>
          </cell>
          <cell r="QA129">
            <v>112026.42564011912</v>
          </cell>
          <cell r="QB129">
            <v>-3.8745052539533198</v>
          </cell>
          <cell r="QC129">
            <v>817041.41763095709</v>
          </cell>
          <cell r="QD129">
            <v>836560.61768173322</v>
          </cell>
          <cell r="QE129">
            <v>2.3890098628503798</v>
          </cell>
        </row>
        <row r="130">
          <cell r="PZ130">
            <v>860853.58604540792</v>
          </cell>
          <cell r="QA130">
            <v>885345.92686517304</v>
          </cell>
          <cell r="QB130">
            <v>2.8451227034179079</v>
          </cell>
          <cell r="QC130">
            <v>5699462.5198746184</v>
          </cell>
          <cell r="QD130">
            <v>6035401.3548581284</v>
          </cell>
          <cell r="QE130">
            <v>5.8942195656530121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CD7356-B74D-4E79-AFAF-FB4DD1C4DD7A}" name="Table4" displayName="Table4" ref="A3:B10" totalsRowShown="0" headerRowDxfId="5" dataDxfId="3" headerRowBorderDxfId="4" tableBorderDxfId="2" headerRowCellStyle="Comma">
  <autoFilter ref="A3:B10" xr:uid="{69CD7356-B74D-4E79-AFAF-FB4DD1C4DD7A}">
    <filterColumn colId="0" hiddenButton="1"/>
    <filterColumn colId="1" hiddenButton="1"/>
  </autoFilter>
  <tableColumns count="2">
    <tableColumn id="1" xr3:uid="{7D362FEC-7C39-4DF0-B500-7DE0F8E18DF1}" name="Table" dataDxfId="1" dataCellStyle="Hyperlink"/>
    <tableColumn id="2" xr3:uid="{602A0B53-2809-4932-8B36-C907EB058192}" name="Table 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B129-929E-4DB0-B53C-9768E72746C8}">
  <sheetPr codeName="Sheet1">
    <pageSetUpPr fitToPage="1"/>
  </sheetPr>
  <dimension ref="A1:D10"/>
  <sheetViews>
    <sheetView tabSelected="1" zoomScale="85" zoomScaleNormal="85" workbookViewId="0"/>
  </sheetViews>
  <sheetFormatPr defaultColWidth="9.109375" defaultRowHeight="13.2" x14ac:dyDescent="0.25"/>
  <cols>
    <col min="1" max="1" width="42.44140625" style="1" customWidth="1"/>
    <col min="2" max="2" width="51.88671875" style="5" customWidth="1"/>
    <col min="3" max="3" width="14" style="1" customWidth="1"/>
    <col min="4" max="4" width="14" style="2" customWidth="1"/>
    <col min="5" max="5" width="9.109375" style="1"/>
    <col min="6" max="6" width="29.6640625" style="1" customWidth="1"/>
    <col min="7" max="7" width="16.33203125" style="1" customWidth="1"/>
    <col min="8" max="10" width="12.88671875" style="1" customWidth="1"/>
    <col min="11" max="16384" width="9.109375" style="1"/>
  </cols>
  <sheetData>
    <row r="1" spans="1:4" ht="19.95" customHeight="1" x14ac:dyDescent="0.25">
      <c r="A1" s="7" t="s">
        <v>165</v>
      </c>
      <c r="B1" s="8"/>
      <c r="C1" s="9"/>
    </row>
    <row r="2" spans="1:4" s="4" customFormat="1" ht="33.6" customHeight="1" x14ac:dyDescent="0.25">
      <c r="A2" s="6" t="s">
        <v>159</v>
      </c>
      <c r="B2" s="8"/>
      <c r="C2" s="10"/>
      <c r="D2" s="10"/>
    </row>
    <row r="3" spans="1:4" s="4" customFormat="1" ht="32.4" customHeight="1" x14ac:dyDescent="0.25">
      <c r="A3" s="12" t="s">
        <v>168</v>
      </c>
      <c r="B3" s="13" t="s">
        <v>1</v>
      </c>
      <c r="C3" s="3"/>
      <c r="D3" s="3"/>
    </row>
    <row r="4" spans="1:4" s="4" customFormat="1" ht="27" customHeight="1" x14ac:dyDescent="0.25">
      <c r="A4" s="14" t="s">
        <v>2</v>
      </c>
      <c r="B4" s="11" t="s">
        <v>3</v>
      </c>
      <c r="C4" s="3"/>
      <c r="D4" s="3"/>
    </row>
    <row r="5" spans="1:4" ht="27" customHeight="1" x14ac:dyDescent="0.25">
      <c r="A5" s="15" t="s">
        <v>4</v>
      </c>
      <c r="B5" s="11" t="s">
        <v>5</v>
      </c>
    </row>
    <row r="6" spans="1:4" ht="27" customHeight="1" x14ac:dyDescent="0.25">
      <c r="A6" s="15" t="s">
        <v>6</v>
      </c>
      <c r="B6" s="11" t="s">
        <v>7</v>
      </c>
    </row>
    <row r="7" spans="1:4" ht="27" customHeight="1" x14ac:dyDescent="0.25">
      <c r="A7" s="15" t="s">
        <v>8</v>
      </c>
      <c r="B7" s="11" t="s">
        <v>9</v>
      </c>
    </row>
    <row r="8" spans="1:4" ht="27" customHeight="1" x14ac:dyDescent="0.25">
      <c r="A8" s="16" t="s">
        <v>10</v>
      </c>
      <c r="B8" s="11" t="s">
        <v>11</v>
      </c>
    </row>
    <row r="9" spans="1:4" ht="27" customHeight="1" x14ac:dyDescent="0.25">
      <c r="A9" s="15" t="s">
        <v>12</v>
      </c>
      <c r="B9" s="11" t="s">
        <v>13</v>
      </c>
    </row>
    <row r="10" spans="1:4" ht="27" customHeight="1" x14ac:dyDescent="0.25">
      <c r="A10" s="15" t="s">
        <v>14</v>
      </c>
      <c r="B10" s="11" t="s">
        <v>15</v>
      </c>
    </row>
  </sheetData>
  <phoneticPr fontId="8" type="noConversion"/>
  <hyperlinks>
    <hyperlink ref="A4" location="'MEI 2026-03_260505 ADA2 TOC'!A1" display="Seas-Adj." xr:uid="{074E7B94-AB6D-4867-B8E6-E112E2558EB4}"/>
    <hyperlink ref="A5" location="'MEI 2026-03_260505 ADA2 State'!A1" display="State" xr:uid="{360C3BE8-25CA-43B9-BAFE-C20944130EF8}"/>
    <hyperlink ref="A6" location="'MEI 2026-03_260505 ADA2 Hono'!A1" display="Honolulu" xr:uid="{2C113E08-64FE-42A1-BF78-F5DFAA7E4DFD}"/>
    <hyperlink ref="A7" location="'MEI 2026-03_260505 ADA2 Hawaii'!A1" display="Hawaii" xr:uid="{B7AD15BC-8BF0-4831-81B8-644AC5ED3BE0}"/>
    <hyperlink ref="A8" location="'MEI 2026-03_260505 ADA2 Maui'!A1" display="Maui" xr:uid="{7317E81E-B838-418D-8071-CED140B1BA43}"/>
    <hyperlink ref="A9" location="'MEI 2026-03_26050 ADA2 Kauai'!A1" display="Kauai" xr:uid="{491338A0-3DF6-4220-846B-BF9725E23E68}"/>
    <hyperlink ref="A10" location="'MEI 2026-03_260505 ADA2 FY'!A1" display="Tax Data, by Fiscal Year" xr:uid="{0D193720-C3AE-4D8E-98AD-1D10E690D62F}"/>
  </hyperlinks>
  <printOptions horizontalCentered="1"/>
  <pageMargins left="0.7" right="0.7" top="0.75" bottom="0.75" header="0.3" footer="0.3"/>
  <pageSetup scale="97" orientation="portrait" r:id="rId1"/>
  <headerFooter alignWithMargins="0">
    <oddFooter>&amp;LDBEDT Monthly Economic Indicators&amp;Rhttp://dbedt.hawaii.gov/economic/mei/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10E9-A3FD-4A85-9C46-4E708F377B49}">
  <sheetPr codeName="Sheet8">
    <pageSetUpPr fitToPage="1"/>
  </sheetPr>
  <dimension ref="A1:G51"/>
  <sheetViews>
    <sheetView zoomScaleNormal="100" workbookViewId="0"/>
  </sheetViews>
  <sheetFormatPr defaultColWidth="9.109375" defaultRowHeight="15.6" x14ac:dyDescent="0.3"/>
  <cols>
    <col min="1" max="1" width="59.6640625" style="57" customWidth="1"/>
    <col min="2" max="2" width="14.109375" style="57" customWidth="1"/>
    <col min="3" max="3" width="13.109375" style="58" customWidth="1"/>
    <col min="4" max="4" width="14" style="58" customWidth="1"/>
    <col min="5" max="5" width="14" style="59" customWidth="1"/>
    <col min="6" max="6" width="14.44140625" style="27" customWidth="1"/>
    <col min="7" max="7" width="14" style="58" customWidth="1"/>
    <col min="8" max="16384" width="9.109375" style="27"/>
  </cols>
  <sheetData>
    <row r="1" spans="1:7" ht="15.6" customHeight="1" x14ac:dyDescent="0.3">
      <c r="A1" s="7" t="s">
        <v>166</v>
      </c>
      <c r="B1" s="61"/>
      <c r="C1" s="61"/>
      <c r="D1" s="61"/>
      <c r="E1" s="19"/>
      <c r="F1" s="61"/>
      <c r="G1" s="61"/>
    </row>
    <row r="2" spans="1:7" ht="36.6" customHeight="1" x14ac:dyDescent="0.3">
      <c r="A2" s="22" t="s">
        <v>159</v>
      </c>
      <c r="B2" s="62"/>
      <c r="C2" s="62"/>
      <c r="D2" s="62"/>
      <c r="E2" s="23"/>
      <c r="F2" s="62"/>
      <c r="G2" s="62"/>
    </row>
    <row r="3" spans="1:7" s="68" customFormat="1" ht="69" customHeight="1" x14ac:dyDescent="0.3">
      <c r="A3" s="32" t="s">
        <v>17</v>
      </c>
      <c r="B3" s="85" t="s">
        <v>0</v>
      </c>
      <c r="C3" s="85" t="s">
        <v>154</v>
      </c>
      <c r="D3" s="32" t="s">
        <v>18</v>
      </c>
      <c r="E3" s="67" t="s">
        <v>16</v>
      </c>
      <c r="F3" s="67" t="s">
        <v>155</v>
      </c>
      <c r="G3" s="86" t="s">
        <v>19</v>
      </c>
    </row>
    <row r="4" spans="1:7" ht="24.6" customHeight="1" x14ac:dyDescent="0.3">
      <c r="A4" s="87" t="s">
        <v>20</v>
      </c>
      <c r="B4" s="38">
        <v>690400</v>
      </c>
      <c r="C4" s="38">
        <v>690900</v>
      </c>
      <c r="D4" s="40">
        <v>7.242178447276941E-2</v>
      </c>
      <c r="E4" s="38">
        <v>688500</v>
      </c>
      <c r="F4" s="38">
        <v>688850</v>
      </c>
      <c r="G4" s="40">
        <v>5.0835148874364557E-2</v>
      </c>
    </row>
    <row r="5" spans="1:7" ht="15" customHeight="1" x14ac:dyDescent="0.3">
      <c r="A5" s="88" t="s">
        <v>21</v>
      </c>
      <c r="B5" s="38">
        <v>672500</v>
      </c>
      <c r="C5" s="38">
        <v>672500</v>
      </c>
      <c r="D5" s="40">
        <v>0</v>
      </c>
      <c r="E5" s="38">
        <v>671950</v>
      </c>
      <c r="F5" s="38">
        <v>672050</v>
      </c>
      <c r="G5" s="40">
        <v>1.4882059677059304E-2</v>
      </c>
    </row>
    <row r="6" spans="1:7" x14ac:dyDescent="0.3">
      <c r="A6" s="88" t="s">
        <v>22</v>
      </c>
      <c r="B6" s="38">
        <v>17900</v>
      </c>
      <c r="C6" s="38">
        <v>18350</v>
      </c>
      <c r="D6" s="40">
        <v>2.5139664804469275</v>
      </c>
      <c r="E6" s="38">
        <v>16550</v>
      </c>
      <c r="F6" s="38">
        <v>16800</v>
      </c>
      <c r="G6" s="40">
        <v>1.5105740181268883</v>
      </c>
    </row>
    <row r="7" spans="1:7" ht="13.2" customHeight="1" x14ac:dyDescent="0.3">
      <c r="A7" s="89" t="s">
        <v>23</v>
      </c>
      <c r="B7" s="40">
        <v>2.6</v>
      </c>
      <c r="C7" s="40">
        <v>2.7</v>
      </c>
      <c r="D7" s="40">
        <v>0.10000000000000009</v>
      </c>
      <c r="E7" s="40">
        <v>2.4000000000000004</v>
      </c>
      <c r="F7" s="40">
        <v>2.4000000000000004</v>
      </c>
      <c r="G7" s="40">
        <v>0</v>
      </c>
    </row>
    <row r="8" spans="1:7" ht="30.6" customHeight="1" x14ac:dyDescent="0.3">
      <c r="A8" s="90" t="s">
        <v>24</v>
      </c>
      <c r="B8" s="38">
        <v>643200</v>
      </c>
      <c r="C8" s="38">
        <v>642700</v>
      </c>
      <c r="D8" s="40">
        <v>-7.7736318407960206E-2</v>
      </c>
      <c r="E8" s="38">
        <v>643700</v>
      </c>
      <c r="F8" s="38">
        <v>643600</v>
      </c>
      <c r="G8" s="40">
        <v>-1.5535187199005747E-2</v>
      </c>
    </row>
    <row r="9" spans="1:7" ht="14.25" customHeight="1" x14ac:dyDescent="0.3">
      <c r="A9" s="90" t="s">
        <v>25</v>
      </c>
      <c r="B9" s="38">
        <v>41500</v>
      </c>
      <c r="C9" s="38">
        <v>41100</v>
      </c>
      <c r="D9" s="40">
        <v>-0.96385542168674709</v>
      </c>
      <c r="E9" s="38">
        <v>41200</v>
      </c>
      <c r="F9" s="38">
        <v>41200</v>
      </c>
      <c r="G9" s="40">
        <v>0</v>
      </c>
    </row>
    <row r="10" spans="1:7" ht="14.25" customHeight="1" x14ac:dyDescent="0.3">
      <c r="A10" s="90" t="s">
        <v>26</v>
      </c>
      <c r="B10" s="38">
        <v>12900</v>
      </c>
      <c r="C10" s="38">
        <v>12600</v>
      </c>
      <c r="D10" s="40">
        <v>-2.3255813953488373</v>
      </c>
      <c r="E10" s="38">
        <v>13000</v>
      </c>
      <c r="F10" s="38">
        <v>13000</v>
      </c>
      <c r="G10" s="40">
        <v>0</v>
      </c>
    </row>
    <row r="11" spans="1:7" ht="14.25" customHeight="1" x14ac:dyDescent="0.3">
      <c r="A11" s="91" t="s">
        <v>27</v>
      </c>
      <c r="B11" s="38">
        <v>3500</v>
      </c>
      <c r="C11" s="38">
        <v>3400</v>
      </c>
      <c r="D11" s="40">
        <v>-2.8571428571428572</v>
      </c>
      <c r="E11" s="38">
        <v>3500</v>
      </c>
      <c r="F11" s="38">
        <v>3500</v>
      </c>
      <c r="G11" s="40">
        <v>0</v>
      </c>
    </row>
    <row r="12" spans="1:7" x14ac:dyDescent="0.3">
      <c r="A12" s="91" t="s">
        <v>28</v>
      </c>
      <c r="B12" s="38">
        <v>9400</v>
      </c>
      <c r="C12" s="38">
        <v>9200</v>
      </c>
      <c r="D12" s="40">
        <v>-2.1276595744680851</v>
      </c>
      <c r="E12" s="38">
        <v>9500</v>
      </c>
      <c r="F12" s="38">
        <v>9500</v>
      </c>
      <c r="G12" s="40">
        <v>0</v>
      </c>
    </row>
    <row r="13" spans="1:7" x14ac:dyDescent="0.3">
      <c r="A13" s="90" t="s">
        <v>29</v>
      </c>
      <c r="B13" s="38">
        <v>115300</v>
      </c>
      <c r="C13" s="38">
        <v>114900</v>
      </c>
      <c r="D13" s="40">
        <v>-0.3469210754553339</v>
      </c>
      <c r="E13" s="38">
        <v>116100</v>
      </c>
      <c r="F13" s="38">
        <v>115900</v>
      </c>
      <c r="G13" s="40">
        <v>-0.17226528854435832</v>
      </c>
    </row>
    <row r="14" spans="1:7" x14ac:dyDescent="0.3">
      <c r="A14" s="91" t="s">
        <v>30</v>
      </c>
      <c r="B14" s="38">
        <v>17300</v>
      </c>
      <c r="C14" s="38">
        <v>17200</v>
      </c>
      <c r="D14" s="40">
        <v>-0.57803468208092479</v>
      </c>
      <c r="E14" s="38">
        <v>17500</v>
      </c>
      <c r="F14" s="38">
        <v>17500</v>
      </c>
      <c r="G14" s="40">
        <v>0</v>
      </c>
    </row>
    <row r="15" spans="1:7" x14ac:dyDescent="0.3">
      <c r="A15" s="91" t="s">
        <v>31</v>
      </c>
      <c r="B15" s="38">
        <v>63700</v>
      </c>
      <c r="C15" s="38">
        <v>63200</v>
      </c>
      <c r="D15" s="40">
        <v>-0.78492935635792771</v>
      </c>
      <c r="E15" s="38">
        <v>64200</v>
      </c>
      <c r="F15" s="38">
        <v>64000</v>
      </c>
      <c r="G15" s="40">
        <v>-0.3115264797507788</v>
      </c>
    </row>
    <row r="16" spans="1:7" x14ac:dyDescent="0.3">
      <c r="A16" s="91" t="s">
        <v>32</v>
      </c>
      <c r="B16" s="38">
        <v>34300</v>
      </c>
      <c r="C16" s="38">
        <v>34500</v>
      </c>
      <c r="D16" s="40">
        <v>0.58309037900874638</v>
      </c>
      <c r="E16" s="38">
        <v>34400</v>
      </c>
      <c r="F16" s="38">
        <v>34400</v>
      </c>
      <c r="G16" s="40">
        <v>0</v>
      </c>
    </row>
    <row r="17" spans="1:7" x14ac:dyDescent="0.3">
      <c r="A17" s="90" t="s">
        <v>33</v>
      </c>
      <c r="B17" s="38">
        <v>7000</v>
      </c>
      <c r="C17" s="38">
        <v>7100</v>
      </c>
      <c r="D17" s="40">
        <v>1.4285714285714286</v>
      </c>
      <c r="E17" s="38">
        <v>7100</v>
      </c>
      <c r="F17" s="38">
        <v>7100</v>
      </c>
      <c r="G17" s="40">
        <v>0</v>
      </c>
    </row>
    <row r="18" spans="1:7" x14ac:dyDescent="0.3">
      <c r="A18" s="90" t="s">
        <v>34</v>
      </c>
      <c r="B18" s="38">
        <v>26500</v>
      </c>
      <c r="C18" s="38">
        <v>26300</v>
      </c>
      <c r="D18" s="40">
        <v>-0.75471698113207553</v>
      </c>
      <c r="E18" s="38">
        <v>26500</v>
      </c>
      <c r="F18" s="38">
        <v>26500</v>
      </c>
      <c r="G18" s="40">
        <v>0</v>
      </c>
    </row>
    <row r="19" spans="1:7" x14ac:dyDescent="0.3">
      <c r="A19" s="91" t="s">
        <v>35</v>
      </c>
      <c r="B19" s="38">
        <v>15100</v>
      </c>
      <c r="C19" s="38">
        <v>14900</v>
      </c>
      <c r="D19" s="40">
        <v>-1.3245033112582782</v>
      </c>
      <c r="E19" s="38">
        <v>15000</v>
      </c>
      <c r="F19" s="38">
        <v>15000</v>
      </c>
      <c r="G19" s="40">
        <v>0</v>
      </c>
    </row>
    <row r="20" spans="1:7" x14ac:dyDescent="0.3">
      <c r="A20" s="91" t="s">
        <v>36</v>
      </c>
      <c r="B20" s="38">
        <v>11400</v>
      </c>
      <c r="C20" s="38">
        <v>11400</v>
      </c>
      <c r="D20" s="40">
        <v>0</v>
      </c>
      <c r="E20" s="38">
        <v>11500</v>
      </c>
      <c r="F20" s="38">
        <v>11500</v>
      </c>
      <c r="G20" s="40">
        <v>0</v>
      </c>
    </row>
    <row r="21" spans="1:7" x14ac:dyDescent="0.3">
      <c r="A21" s="90" t="s">
        <v>37</v>
      </c>
      <c r="B21" s="38">
        <v>72500</v>
      </c>
      <c r="C21" s="38">
        <v>72100</v>
      </c>
      <c r="D21" s="40">
        <v>-0.55172413793103448</v>
      </c>
      <c r="E21" s="38">
        <v>72800</v>
      </c>
      <c r="F21" s="38">
        <v>72700</v>
      </c>
      <c r="G21" s="40">
        <v>-0.13736263736263737</v>
      </c>
    </row>
    <row r="22" spans="1:7" x14ac:dyDescent="0.3">
      <c r="A22" s="90" t="s">
        <v>38</v>
      </c>
      <c r="B22" s="38">
        <v>27200</v>
      </c>
      <c r="C22" s="38">
        <v>27100</v>
      </c>
      <c r="D22" s="40">
        <v>-0.36764705882352938</v>
      </c>
      <c r="E22" s="38">
        <v>27300</v>
      </c>
      <c r="F22" s="38">
        <v>27300</v>
      </c>
      <c r="G22" s="40">
        <v>0</v>
      </c>
    </row>
    <row r="23" spans="1:7" x14ac:dyDescent="0.3">
      <c r="A23" s="91" t="s">
        <v>39</v>
      </c>
      <c r="B23" s="38">
        <v>8400</v>
      </c>
      <c r="C23" s="38">
        <v>8500</v>
      </c>
      <c r="D23" s="40">
        <v>1.1904761904761905</v>
      </c>
      <c r="E23" s="38">
        <v>8500</v>
      </c>
      <c r="F23" s="38">
        <v>8500</v>
      </c>
      <c r="G23" s="40">
        <v>0</v>
      </c>
    </row>
    <row r="24" spans="1:7" x14ac:dyDescent="0.3">
      <c r="A24" s="91" t="s">
        <v>40</v>
      </c>
      <c r="B24" s="38">
        <v>36900</v>
      </c>
      <c r="C24" s="38">
        <v>36500</v>
      </c>
      <c r="D24" s="40">
        <v>-1.084010840108401</v>
      </c>
      <c r="E24" s="38">
        <v>37000</v>
      </c>
      <c r="F24" s="38">
        <v>36900</v>
      </c>
      <c r="G24" s="40">
        <v>-0.27027027027027029</v>
      </c>
    </row>
    <row r="25" spans="1:7" x14ac:dyDescent="0.3">
      <c r="A25" s="90" t="s">
        <v>41</v>
      </c>
      <c r="B25" s="38">
        <v>93900</v>
      </c>
      <c r="C25" s="38">
        <v>94100</v>
      </c>
      <c r="D25" s="40">
        <v>0.21299254526091588</v>
      </c>
      <c r="E25" s="38">
        <v>93200</v>
      </c>
      <c r="F25" s="38">
        <v>93300</v>
      </c>
      <c r="G25" s="40">
        <v>0.1072961373390558</v>
      </c>
    </row>
    <row r="26" spans="1:7" x14ac:dyDescent="0.3">
      <c r="A26" s="88" t="s">
        <v>42</v>
      </c>
      <c r="B26" s="38">
        <v>14600</v>
      </c>
      <c r="C26" s="38">
        <v>14600</v>
      </c>
      <c r="D26" s="40">
        <v>0</v>
      </c>
      <c r="E26" s="38">
        <v>14700</v>
      </c>
      <c r="F26" s="38">
        <v>14700</v>
      </c>
      <c r="G26" s="40">
        <v>0</v>
      </c>
    </row>
    <row r="27" spans="1:7" x14ac:dyDescent="0.3">
      <c r="A27" s="91" t="s">
        <v>43</v>
      </c>
      <c r="B27" s="38">
        <v>79300</v>
      </c>
      <c r="C27" s="38">
        <v>79500</v>
      </c>
      <c r="D27" s="40">
        <v>0.25220680958385877</v>
      </c>
      <c r="E27" s="38">
        <v>78500</v>
      </c>
      <c r="F27" s="38">
        <v>78600</v>
      </c>
      <c r="G27" s="40">
        <v>0.12738853503184713</v>
      </c>
    </row>
    <row r="28" spans="1:7" x14ac:dyDescent="0.3">
      <c r="A28" s="90" t="s">
        <v>44</v>
      </c>
      <c r="B28" s="38">
        <v>122100</v>
      </c>
      <c r="C28" s="38">
        <v>122400</v>
      </c>
      <c r="D28" s="40">
        <v>0.24570024570024571</v>
      </c>
      <c r="E28" s="38">
        <v>122000</v>
      </c>
      <c r="F28" s="38">
        <v>122000</v>
      </c>
      <c r="G28" s="40">
        <v>0</v>
      </c>
    </row>
    <row r="29" spans="1:7" x14ac:dyDescent="0.3">
      <c r="A29" s="91" t="s">
        <v>45</v>
      </c>
      <c r="B29" s="38">
        <v>13700</v>
      </c>
      <c r="C29" s="38">
        <v>13800</v>
      </c>
      <c r="D29" s="40">
        <v>0.72992700729927007</v>
      </c>
      <c r="E29" s="38">
        <v>13500</v>
      </c>
      <c r="F29" s="38">
        <v>13600</v>
      </c>
      <c r="G29" s="40">
        <v>0.74074074074074081</v>
      </c>
    </row>
    <row r="30" spans="1:7" x14ac:dyDescent="0.3">
      <c r="A30" s="91" t="s">
        <v>46</v>
      </c>
      <c r="B30" s="38">
        <v>108400</v>
      </c>
      <c r="C30" s="38">
        <v>108600</v>
      </c>
      <c r="D30" s="40">
        <v>0.18450184501845018</v>
      </c>
      <c r="E30" s="38">
        <v>108500</v>
      </c>
      <c r="F30" s="38">
        <v>108500</v>
      </c>
      <c r="G30" s="40">
        <v>0</v>
      </c>
    </row>
    <row r="31" spans="1:7" x14ac:dyDescent="0.3">
      <c r="A31" s="90" t="s">
        <v>47</v>
      </c>
      <c r="B31" s="38">
        <v>26600</v>
      </c>
      <c r="C31" s="38">
        <v>26600</v>
      </c>
      <c r="D31" s="40">
        <v>0</v>
      </c>
      <c r="E31" s="38">
        <v>26900</v>
      </c>
      <c r="F31" s="38">
        <v>26800</v>
      </c>
      <c r="G31" s="40">
        <v>-0.37174721189591076</v>
      </c>
    </row>
    <row r="32" spans="1:7" x14ac:dyDescent="0.3">
      <c r="A32" s="90" t="s">
        <v>48</v>
      </c>
      <c r="B32" s="38">
        <v>124900</v>
      </c>
      <c r="C32" s="38">
        <v>125500</v>
      </c>
      <c r="D32" s="40">
        <v>0.48038430744595673</v>
      </c>
      <c r="E32" s="38">
        <v>125000</v>
      </c>
      <c r="F32" s="38">
        <v>125100</v>
      </c>
      <c r="G32" s="40">
        <v>0.08</v>
      </c>
    </row>
    <row r="33" spans="1:7" x14ac:dyDescent="0.3">
      <c r="A33" s="91" t="s">
        <v>49</v>
      </c>
      <c r="B33" s="38">
        <v>32300</v>
      </c>
      <c r="C33" s="38">
        <v>32200</v>
      </c>
      <c r="D33" s="40">
        <v>-0.30959752321981426</v>
      </c>
      <c r="E33" s="38">
        <v>32500</v>
      </c>
      <c r="F33" s="38">
        <v>32400</v>
      </c>
      <c r="G33" s="40">
        <v>-0.30769230769230771</v>
      </c>
    </row>
    <row r="34" spans="1:7" x14ac:dyDescent="0.3">
      <c r="A34" s="91" t="s">
        <v>50</v>
      </c>
      <c r="B34" s="38">
        <v>72600</v>
      </c>
      <c r="C34" s="38">
        <v>73200</v>
      </c>
      <c r="D34" s="40">
        <v>0.82644628099173556</v>
      </c>
      <c r="E34" s="38">
        <v>72700</v>
      </c>
      <c r="F34" s="38">
        <v>72800</v>
      </c>
      <c r="G34" s="40">
        <v>0.13755158184319119</v>
      </c>
    </row>
    <row r="35" spans="1:7" ht="15" customHeight="1" x14ac:dyDescent="0.3">
      <c r="A35" s="92" t="s">
        <v>51</v>
      </c>
      <c r="B35" s="38">
        <v>20000</v>
      </c>
      <c r="C35" s="38">
        <v>20100</v>
      </c>
      <c r="D35" s="40">
        <v>0.5</v>
      </c>
      <c r="E35" s="38">
        <v>19800</v>
      </c>
      <c r="F35" s="38">
        <v>19900</v>
      </c>
      <c r="G35" s="40">
        <v>0.50505050505050508</v>
      </c>
    </row>
    <row r="36" spans="1:7" ht="28.2" customHeight="1" x14ac:dyDescent="0.3">
      <c r="A36" s="87" t="s">
        <v>52</v>
      </c>
      <c r="B36" s="38">
        <v>477300</v>
      </c>
      <c r="C36" s="96">
        <v>477300</v>
      </c>
      <c r="D36" s="74">
        <v>0</v>
      </c>
      <c r="E36" s="38">
        <v>476500</v>
      </c>
      <c r="F36" s="96">
        <v>476650</v>
      </c>
      <c r="G36" s="40">
        <v>3.1479538300104928E-2</v>
      </c>
    </row>
    <row r="37" spans="1:7" x14ac:dyDescent="0.3">
      <c r="A37" s="88" t="s">
        <v>53</v>
      </c>
      <c r="B37" s="38">
        <v>465700</v>
      </c>
      <c r="C37" s="96">
        <v>465300</v>
      </c>
      <c r="D37" s="74">
        <v>-8.5892205282370626E-2</v>
      </c>
      <c r="E37" s="38">
        <v>465600</v>
      </c>
      <c r="F37" s="96">
        <v>465550</v>
      </c>
      <c r="G37" s="40">
        <v>-1.0738831615120275E-2</v>
      </c>
    </row>
    <row r="38" spans="1:7" x14ac:dyDescent="0.3">
      <c r="A38" s="88" t="s">
        <v>54</v>
      </c>
      <c r="B38" s="38">
        <v>11650</v>
      </c>
      <c r="C38" s="96">
        <v>12000</v>
      </c>
      <c r="D38" s="74">
        <v>3.0042918454935621</v>
      </c>
      <c r="E38" s="38">
        <v>10950</v>
      </c>
      <c r="F38" s="96">
        <v>11100</v>
      </c>
      <c r="G38" s="40">
        <v>1.3698630136986301</v>
      </c>
    </row>
    <row r="39" spans="1:7" ht="16.95" customHeight="1" x14ac:dyDescent="0.3">
      <c r="A39" s="89" t="s">
        <v>55</v>
      </c>
      <c r="B39" s="40">
        <v>2.4</v>
      </c>
      <c r="C39" s="74">
        <v>2.5</v>
      </c>
      <c r="D39" s="74">
        <v>0.10000000000000009</v>
      </c>
      <c r="E39" s="40">
        <v>2.3000000000000003</v>
      </c>
      <c r="F39" s="74">
        <v>2.3000000000000003</v>
      </c>
      <c r="G39" s="40">
        <v>0</v>
      </c>
    </row>
    <row r="40" spans="1:7" ht="26.4" customHeight="1" x14ac:dyDescent="0.3">
      <c r="A40" s="87" t="s">
        <v>56</v>
      </c>
      <c r="B40" s="38">
        <v>462100</v>
      </c>
      <c r="C40" s="38">
        <v>461500</v>
      </c>
      <c r="D40" s="40">
        <v>-0.12984202553559834</v>
      </c>
      <c r="E40" s="38">
        <v>462800</v>
      </c>
      <c r="F40" s="38">
        <v>462600</v>
      </c>
      <c r="G40" s="40">
        <v>-4.3215211754537596E-2</v>
      </c>
    </row>
    <row r="41" spans="1:7" ht="26.4" customHeight="1" x14ac:dyDescent="0.3">
      <c r="A41" s="87" t="s">
        <v>57</v>
      </c>
      <c r="B41" s="38">
        <v>82550</v>
      </c>
      <c r="C41" s="96">
        <v>82750</v>
      </c>
      <c r="D41" s="74">
        <v>0.24227740763173833</v>
      </c>
      <c r="E41" s="38">
        <v>82250</v>
      </c>
      <c r="F41" s="96">
        <v>82350</v>
      </c>
      <c r="G41" s="40">
        <v>0.12158054711246201</v>
      </c>
    </row>
    <row r="42" spans="1:7" x14ac:dyDescent="0.3">
      <c r="A42" s="88" t="s">
        <v>58</v>
      </c>
      <c r="B42" s="38">
        <v>80350</v>
      </c>
      <c r="C42" s="96">
        <v>80500</v>
      </c>
      <c r="D42" s="74">
        <v>0.18668326073428748</v>
      </c>
      <c r="E42" s="38">
        <v>80150</v>
      </c>
      <c r="F42" s="96">
        <v>80200</v>
      </c>
      <c r="G42" s="40">
        <v>6.2383031815346227E-2</v>
      </c>
    </row>
    <row r="43" spans="1:7" x14ac:dyDescent="0.3">
      <c r="A43" s="88" t="s">
        <v>59</v>
      </c>
      <c r="B43" s="38">
        <v>2200</v>
      </c>
      <c r="C43" s="96">
        <v>2250</v>
      </c>
      <c r="D43" s="74">
        <v>2.2727272727272729</v>
      </c>
      <c r="E43" s="38">
        <v>2100</v>
      </c>
      <c r="F43" s="96">
        <v>2100</v>
      </c>
      <c r="G43" s="40">
        <v>0</v>
      </c>
    </row>
    <row r="44" spans="1:7" ht="15" customHeight="1" x14ac:dyDescent="0.3">
      <c r="A44" s="89" t="s">
        <v>60</v>
      </c>
      <c r="B44" s="40">
        <v>2.7</v>
      </c>
      <c r="C44" s="74">
        <v>2.7</v>
      </c>
      <c r="D44" s="74">
        <v>0</v>
      </c>
      <c r="E44" s="40">
        <v>2.6</v>
      </c>
      <c r="F44" s="74">
        <v>2.6</v>
      </c>
      <c r="G44" s="40">
        <v>0</v>
      </c>
    </row>
    <row r="45" spans="1:7" ht="31.2" customHeight="1" x14ac:dyDescent="0.3">
      <c r="A45" s="77" t="s">
        <v>61</v>
      </c>
      <c r="B45" s="78">
        <v>75300</v>
      </c>
      <c r="C45" s="78">
        <v>75300</v>
      </c>
      <c r="D45" s="79">
        <v>0</v>
      </c>
      <c r="E45" s="78">
        <v>75000</v>
      </c>
      <c r="F45" s="78">
        <v>75000</v>
      </c>
      <c r="G45" s="79">
        <v>0</v>
      </c>
    </row>
    <row r="46" spans="1:7" ht="27.6" customHeight="1" x14ac:dyDescent="0.3">
      <c r="A46" s="109" t="s">
        <v>167</v>
      </c>
      <c r="B46" s="94"/>
      <c r="C46" s="50"/>
      <c r="D46" s="50"/>
      <c r="E46" s="50"/>
      <c r="F46" s="50"/>
      <c r="G46" s="51"/>
    </row>
    <row r="47" spans="1:7" x14ac:dyDescent="0.3">
      <c r="A47" s="108" t="s">
        <v>62</v>
      </c>
      <c r="B47" s="50"/>
      <c r="C47" s="53"/>
      <c r="D47" s="53"/>
      <c r="E47" s="53"/>
      <c r="F47" s="80"/>
      <c r="G47" s="51"/>
    </row>
    <row r="48" spans="1:7" x14ac:dyDescent="0.3">
      <c r="A48" s="27" t="s">
        <v>63</v>
      </c>
      <c r="B48" s="50"/>
      <c r="C48" s="53"/>
      <c r="D48" s="53"/>
      <c r="E48" s="53"/>
      <c r="F48" s="80"/>
      <c r="G48" s="51"/>
    </row>
    <row r="49" spans="1:7" x14ac:dyDescent="0.3">
      <c r="A49" s="108" t="s">
        <v>64</v>
      </c>
      <c r="B49" s="83"/>
      <c r="C49" s="53"/>
      <c r="D49" s="53"/>
      <c r="E49" s="53"/>
      <c r="F49" s="80"/>
      <c r="G49" s="51"/>
    </row>
    <row r="50" spans="1:7" x14ac:dyDescent="0.3">
      <c r="A50" s="108" t="s">
        <v>65</v>
      </c>
      <c r="B50" s="82"/>
      <c r="C50" s="53"/>
      <c r="D50" s="53"/>
      <c r="E50" s="53"/>
      <c r="F50" s="80"/>
      <c r="G50" s="51"/>
    </row>
    <row r="51" spans="1:7" x14ac:dyDescent="0.3">
      <c r="A51" s="54" t="s">
        <v>66</v>
      </c>
      <c r="B51" s="82"/>
      <c r="C51" s="53"/>
      <c r="D51" s="53"/>
      <c r="E51" s="53"/>
      <c r="F51" s="80"/>
      <c r="G51" s="51"/>
    </row>
  </sheetData>
  <phoneticPr fontId="8" type="noConversion"/>
  <printOptions horizontalCentered="1"/>
  <pageMargins left="0.7" right="0.7" top="0.75" bottom="0.75" header="0.3" footer="0.3"/>
  <pageSetup scale="64" orientation="portrait" r:id="rId1"/>
  <headerFooter alignWithMargins="0">
    <oddFooter>&amp;LDBEDT Monthly Economic Indicators&amp;Rhttp://dbedt.hawaii.gov/economic/mei/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66"/>
  <sheetViews>
    <sheetView zoomScale="85" zoomScaleNormal="85" workbookViewId="0"/>
  </sheetViews>
  <sheetFormatPr defaultColWidth="9.109375" defaultRowHeight="15.6" x14ac:dyDescent="0.3"/>
  <cols>
    <col min="1" max="1" width="53.6640625" style="57" customWidth="1"/>
    <col min="2" max="2" width="13.33203125" style="57" customWidth="1"/>
    <col min="3" max="3" width="13" style="58" customWidth="1"/>
    <col min="4" max="4" width="14" style="58" customWidth="1"/>
    <col min="5" max="5" width="14" style="59" customWidth="1"/>
    <col min="6" max="6" width="14" style="27" customWidth="1"/>
    <col min="7" max="7" width="14" style="58" customWidth="1"/>
    <col min="8" max="16384" width="9.109375" style="27"/>
  </cols>
  <sheetData>
    <row r="1" spans="1:7" ht="19.95" customHeight="1" x14ac:dyDescent="0.3">
      <c r="A1" s="17" t="s">
        <v>160</v>
      </c>
      <c r="B1" s="18"/>
      <c r="C1" s="61"/>
      <c r="D1" s="61"/>
      <c r="E1" s="19"/>
      <c r="F1" s="18"/>
      <c r="G1" s="63"/>
    </row>
    <row r="2" spans="1:7" s="95" customFormat="1" ht="33.6" customHeight="1" x14ac:dyDescent="0.25">
      <c r="A2" s="22" t="s">
        <v>159</v>
      </c>
      <c r="B2" s="22"/>
      <c r="C2" s="62"/>
      <c r="D2" s="62"/>
      <c r="E2" s="23"/>
      <c r="F2" s="62"/>
      <c r="G2" s="62"/>
    </row>
    <row r="3" spans="1:7" s="68" customFormat="1" ht="67.2" customHeight="1" x14ac:dyDescent="0.3">
      <c r="A3" s="32" t="s">
        <v>67</v>
      </c>
      <c r="B3" s="31" t="s">
        <v>156</v>
      </c>
      <c r="C3" s="66" t="s">
        <v>154</v>
      </c>
      <c r="D3" s="32" t="s">
        <v>18</v>
      </c>
      <c r="E3" s="86" t="s">
        <v>157</v>
      </c>
      <c r="F3" s="86" t="s">
        <v>155</v>
      </c>
      <c r="G3" s="86" t="s">
        <v>19</v>
      </c>
    </row>
    <row r="4" spans="1:7" ht="25.2" customHeight="1" x14ac:dyDescent="0.3">
      <c r="A4" s="69" t="s">
        <v>68</v>
      </c>
      <c r="B4" s="70">
        <v>687900</v>
      </c>
      <c r="C4" s="70">
        <v>691350</v>
      </c>
      <c r="D4" s="71">
        <v>0.50152638464893151</v>
      </c>
      <c r="E4" s="70">
        <v>688400</v>
      </c>
      <c r="F4" s="70">
        <v>689800</v>
      </c>
      <c r="G4" s="71">
        <v>0.20337013364323067</v>
      </c>
    </row>
    <row r="5" spans="1:7" ht="12.75" customHeight="1" x14ac:dyDescent="0.3">
      <c r="A5" s="72" t="s">
        <v>69</v>
      </c>
      <c r="B5" s="38">
        <v>672400</v>
      </c>
      <c r="C5" s="38">
        <v>671650</v>
      </c>
      <c r="D5" s="40">
        <v>-0.111540749553837</v>
      </c>
      <c r="E5" s="38">
        <v>672000</v>
      </c>
      <c r="F5" s="38">
        <v>672350</v>
      </c>
      <c r="G5" s="40">
        <v>5.2083333333333336E-2</v>
      </c>
    </row>
    <row r="6" spans="1:7" x14ac:dyDescent="0.3">
      <c r="A6" s="72" t="s">
        <v>70</v>
      </c>
      <c r="B6" s="38">
        <v>15550</v>
      </c>
      <c r="C6" s="38">
        <v>19700</v>
      </c>
      <c r="D6" s="40">
        <v>26.688102893890676</v>
      </c>
      <c r="E6" s="38">
        <v>16400</v>
      </c>
      <c r="F6" s="38">
        <v>17500</v>
      </c>
      <c r="G6" s="40">
        <v>6.7073170731707323</v>
      </c>
    </row>
    <row r="7" spans="1:7" ht="15" customHeight="1" x14ac:dyDescent="0.3">
      <c r="A7" s="69" t="s">
        <v>71</v>
      </c>
      <c r="B7" s="40">
        <v>2.2999999999999998</v>
      </c>
      <c r="C7" s="40">
        <v>2.9</v>
      </c>
      <c r="D7" s="40">
        <v>0.60000000000000009</v>
      </c>
      <c r="E7" s="40">
        <v>2.4000000000000004</v>
      </c>
      <c r="F7" s="40">
        <v>2.5</v>
      </c>
      <c r="G7" s="40">
        <v>9.9999999999999645E-2</v>
      </c>
    </row>
    <row r="8" spans="1:7" ht="28.95" customHeight="1" x14ac:dyDescent="0.3">
      <c r="A8" s="73" t="s">
        <v>72</v>
      </c>
      <c r="B8" s="42" t="s">
        <v>73</v>
      </c>
      <c r="C8" s="42" t="s">
        <v>73</v>
      </c>
      <c r="D8" s="74" t="s">
        <v>73</v>
      </c>
      <c r="E8" s="42" t="s">
        <v>73</v>
      </c>
      <c r="F8" s="42" t="s">
        <v>73</v>
      </c>
      <c r="G8" s="40" t="s">
        <v>73</v>
      </c>
    </row>
    <row r="9" spans="1:7" x14ac:dyDescent="0.3">
      <c r="A9" s="72" t="s">
        <v>74</v>
      </c>
      <c r="B9" s="38">
        <v>638100</v>
      </c>
      <c r="C9" s="38">
        <v>639100</v>
      </c>
      <c r="D9" s="40">
        <v>0.15671524839366871</v>
      </c>
      <c r="E9" s="38">
        <v>642300</v>
      </c>
      <c r="F9" s="38">
        <v>643300</v>
      </c>
      <c r="G9" s="40">
        <v>0.15569048731122528</v>
      </c>
    </row>
    <row r="10" spans="1:7" x14ac:dyDescent="0.3">
      <c r="A10" s="75" t="s">
        <v>75</v>
      </c>
      <c r="B10" s="38">
        <v>40400</v>
      </c>
      <c r="C10" s="38">
        <v>41400</v>
      </c>
      <c r="D10" s="40">
        <v>2.4752475247524752</v>
      </c>
      <c r="E10" s="38">
        <v>39900</v>
      </c>
      <c r="F10" s="38">
        <v>41200</v>
      </c>
      <c r="G10" s="40">
        <v>3.2581453634085209</v>
      </c>
    </row>
    <row r="11" spans="1:7" x14ac:dyDescent="0.3">
      <c r="A11" s="75" t="s">
        <v>76</v>
      </c>
      <c r="B11" s="38">
        <v>13000</v>
      </c>
      <c r="C11" s="38">
        <v>12700</v>
      </c>
      <c r="D11" s="40">
        <v>-2.3076923076923079</v>
      </c>
      <c r="E11" s="38">
        <v>13000</v>
      </c>
      <c r="F11" s="38">
        <v>12900</v>
      </c>
      <c r="G11" s="40">
        <v>-0.76923076923076927</v>
      </c>
    </row>
    <row r="12" spans="1:7" x14ac:dyDescent="0.3">
      <c r="A12" s="75" t="s">
        <v>30</v>
      </c>
      <c r="B12" s="38">
        <v>17200</v>
      </c>
      <c r="C12" s="38">
        <v>17200</v>
      </c>
      <c r="D12" s="40">
        <v>0</v>
      </c>
      <c r="E12" s="38">
        <v>17200</v>
      </c>
      <c r="F12" s="38">
        <v>17500</v>
      </c>
      <c r="G12" s="40">
        <v>1.7441860465116279</v>
      </c>
    </row>
    <row r="13" spans="1:7" x14ac:dyDescent="0.3">
      <c r="A13" s="75" t="s">
        <v>31</v>
      </c>
      <c r="B13" s="38">
        <v>64000</v>
      </c>
      <c r="C13" s="38">
        <v>63100</v>
      </c>
      <c r="D13" s="40">
        <v>-1.40625</v>
      </c>
      <c r="E13" s="38">
        <v>63800</v>
      </c>
      <c r="F13" s="38">
        <v>63600</v>
      </c>
      <c r="G13" s="40">
        <v>-0.31347962382445138</v>
      </c>
    </row>
    <row r="14" spans="1:7" x14ac:dyDescent="0.3">
      <c r="A14" s="75" t="s">
        <v>77</v>
      </c>
      <c r="B14" s="38">
        <v>35300</v>
      </c>
      <c r="C14" s="38">
        <v>34500</v>
      </c>
      <c r="D14" s="40">
        <v>-2.2662889518413598</v>
      </c>
      <c r="E14" s="38">
        <v>35100</v>
      </c>
      <c r="F14" s="38">
        <v>34400</v>
      </c>
      <c r="G14" s="40">
        <v>-1.9943019943019942</v>
      </c>
    </row>
    <row r="15" spans="1:7" x14ac:dyDescent="0.3">
      <c r="A15" s="75" t="s">
        <v>78</v>
      </c>
      <c r="B15" s="38">
        <v>6800</v>
      </c>
      <c r="C15" s="38">
        <v>7100</v>
      </c>
      <c r="D15" s="40">
        <v>4.4117647058823533</v>
      </c>
      <c r="E15" s="38">
        <v>6900</v>
      </c>
      <c r="F15" s="38">
        <v>7000</v>
      </c>
      <c r="G15" s="40">
        <v>1.4492753623188406</v>
      </c>
    </row>
    <row r="16" spans="1:7" x14ac:dyDescent="0.3">
      <c r="A16" s="75" t="s">
        <v>79</v>
      </c>
      <c r="B16" s="38">
        <v>27200</v>
      </c>
      <c r="C16" s="38">
        <v>26300</v>
      </c>
      <c r="D16" s="40">
        <v>-3.3088235294117649</v>
      </c>
      <c r="E16" s="38">
        <v>27000</v>
      </c>
      <c r="F16" s="38">
        <v>26400</v>
      </c>
      <c r="G16" s="40">
        <v>-2.2222222222222223</v>
      </c>
    </row>
    <row r="17" spans="1:7" x14ac:dyDescent="0.3">
      <c r="A17" s="75" t="s">
        <v>80</v>
      </c>
      <c r="B17" s="38">
        <v>72400</v>
      </c>
      <c r="C17" s="38">
        <v>72000</v>
      </c>
      <c r="D17" s="40">
        <v>-0.55248618784530379</v>
      </c>
      <c r="E17" s="38">
        <v>72600</v>
      </c>
      <c r="F17" s="38">
        <v>72600</v>
      </c>
      <c r="G17" s="40">
        <v>0</v>
      </c>
    </row>
    <row r="18" spans="1:7" x14ac:dyDescent="0.3">
      <c r="A18" s="75" t="s">
        <v>42</v>
      </c>
      <c r="B18" s="38">
        <v>14200</v>
      </c>
      <c r="C18" s="38">
        <v>14300</v>
      </c>
      <c r="D18" s="40">
        <v>0.70422535211267612</v>
      </c>
      <c r="E18" s="38">
        <v>14700</v>
      </c>
      <c r="F18" s="38">
        <v>14700</v>
      </c>
      <c r="G18" s="40">
        <v>0</v>
      </c>
    </row>
    <row r="19" spans="1:7" x14ac:dyDescent="0.3">
      <c r="A19" s="75" t="s">
        <v>43</v>
      </c>
      <c r="B19" s="38">
        <v>76300</v>
      </c>
      <c r="C19" s="38">
        <v>79200</v>
      </c>
      <c r="D19" s="40">
        <v>3.800786369593709</v>
      </c>
      <c r="E19" s="38">
        <v>76300</v>
      </c>
      <c r="F19" s="38">
        <v>78400</v>
      </c>
      <c r="G19" s="40">
        <v>2.7522935779816518</v>
      </c>
    </row>
    <row r="20" spans="1:7" x14ac:dyDescent="0.3">
      <c r="A20" s="75" t="s">
        <v>45</v>
      </c>
      <c r="B20" s="38">
        <v>13400</v>
      </c>
      <c r="C20" s="38">
        <v>14000</v>
      </c>
      <c r="D20" s="40">
        <v>4.4776119402985071</v>
      </c>
      <c r="E20" s="38">
        <v>13300</v>
      </c>
      <c r="F20" s="38">
        <v>13600</v>
      </c>
      <c r="G20" s="40">
        <v>2.2556390977443606</v>
      </c>
    </row>
    <row r="21" spans="1:7" x14ac:dyDescent="0.3">
      <c r="A21" s="76" t="s">
        <v>81</v>
      </c>
      <c r="B21" s="38">
        <v>40300</v>
      </c>
      <c r="C21" s="38">
        <v>40900</v>
      </c>
      <c r="D21" s="40">
        <v>1.4888337468982631</v>
      </c>
      <c r="E21" s="38">
        <v>40100</v>
      </c>
      <c r="F21" s="38">
        <v>40800</v>
      </c>
      <c r="G21" s="40">
        <v>1.7456359102244388</v>
      </c>
    </row>
    <row r="22" spans="1:7" x14ac:dyDescent="0.3">
      <c r="A22" s="76" t="s">
        <v>82</v>
      </c>
      <c r="B22" s="38">
        <v>67700</v>
      </c>
      <c r="C22" s="38">
        <v>68400</v>
      </c>
      <c r="D22" s="40">
        <v>1.0339734121122599</v>
      </c>
      <c r="E22" s="38">
        <v>67200</v>
      </c>
      <c r="F22" s="38">
        <v>67800</v>
      </c>
      <c r="G22" s="40">
        <v>0.89285714285714279</v>
      </c>
    </row>
    <row r="23" spans="1:7" x14ac:dyDescent="0.3">
      <c r="A23" s="75" t="s">
        <v>83</v>
      </c>
      <c r="B23" s="38">
        <v>27300</v>
      </c>
      <c r="C23" s="38">
        <v>26700</v>
      </c>
      <c r="D23" s="40">
        <v>-2.197802197802198</v>
      </c>
      <c r="E23" s="38">
        <v>27100</v>
      </c>
      <c r="F23" s="38">
        <v>26900</v>
      </c>
      <c r="G23" s="40">
        <v>-0.73800738007380073</v>
      </c>
    </row>
    <row r="24" spans="1:7" x14ac:dyDescent="0.3">
      <c r="A24" s="75" t="s">
        <v>84</v>
      </c>
      <c r="B24" s="38">
        <v>122600</v>
      </c>
      <c r="C24" s="38">
        <v>121300</v>
      </c>
      <c r="D24" s="40">
        <v>-1.0603588907014683</v>
      </c>
      <c r="E24" s="38">
        <v>128000</v>
      </c>
      <c r="F24" s="38">
        <v>125800</v>
      </c>
      <c r="G24" s="40">
        <v>-1.7187500000000002</v>
      </c>
    </row>
    <row r="25" spans="1:7" x14ac:dyDescent="0.3">
      <c r="A25" s="76" t="s">
        <v>85</v>
      </c>
      <c r="B25" s="38">
        <v>35100</v>
      </c>
      <c r="C25" s="38">
        <v>32200</v>
      </c>
      <c r="D25" s="40">
        <v>-8.2621082621082618</v>
      </c>
      <c r="E25" s="38">
        <v>35400</v>
      </c>
      <c r="F25" s="38">
        <v>32400</v>
      </c>
      <c r="G25" s="40">
        <v>-8.4745762711864394</v>
      </c>
    </row>
    <row r="26" spans="1:7" x14ac:dyDescent="0.3">
      <c r="A26" s="76" t="s">
        <v>86</v>
      </c>
      <c r="B26" s="38">
        <v>67900</v>
      </c>
      <c r="C26" s="38">
        <v>68600</v>
      </c>
      <c r="D26" s="40">
        <v>1.0309278350515463</v>
      </c>
      <c r="E26" s="38">
        <v>73400</v>
      </c>
      <c r="F26" s="38">
        <v>73500</v>
      </c>
      <c r="G26" s="40">
        <v>0.13623978201634876</v>
      </c>
    </row>
    <row r="27" spans="1:7" x14ac:dyDescent="0.3">
      <c r="A27" s="76" t="s">
        <v>87</v>
      </c>
      <c r="B27" s="38">
        <v>19600</v>
      </c>
      <c r="C27" s="38">
        <v>20500</v>
      </c>
      <c r="D27" s="40">
        <v>4.591836734693878</v>
      </c>
      <c r="E27" s="38">
        <v>19200</v>
      </c>
      <c r="F27" s="38">
        <v>19900</v>
      </c>
      <c r="G27" s="40">
        <v>3.6458333333333335</v>
      </c>
    </row>
    <row r="28" spans="1:7" ht="15" customHeight="1" x14ac:dyDescent="0.3">
      <c r="A28" s="72" t="s">
        <v>88</v>
      </c>
      <c r="B28" s="96" t="s">
        <v>73</v>
      </c>
      <c r="C28" s="96" t="s">
        <v>73</v>
      </c>
      <c r="D28" s="74" t="s">
        <v>73</v>
      </c>
      <c r="E28" s="96" t="s">
        <v>73</v>
      </c>
      <c r="F28" s="96" t="s">
        <v>73</v>
      </c>
      <c r="G28" s="40" t="s">
        <v>73</v>
      </c>
    </row>
    <row r="29" spans="1:7" ht="29.4" customHeight="1" x14ac:dyDescent="0.3">
      <c r="A29" s="73" t="s">
        <v>89</v>
      </c>
      <c r="B29" s="38">
        <v>755000.26599999995</v>
      </c>
      <c r="C29" s="96" t="s">
        <v>73</v>
      </c>
      <c r="D29" s="74" t="s">
        <v>73</v>
      </c>
      <c r="E29" s="38">
        <v>5650834.0060000001</v>
      </c>
      <c r="F29" s="96" t="s">
        <v>73</v>
      </c>
      <c r="G29" s="40" t="s">
        <v>73</v>
      </c>
    </row>
    <row r="30" spans="1:7" ht="15" customHeight="1" x14ac:dyDescent="0.3">
      <c r="A30" s="72" t="s">
        <v>90</v>
      </c>
      <c r="B30" s="38">
        <v>431543.13500000001</v>
      </c>
      <c r="C30" s="38">
        <v>463441.83899999998</v>
      </c>
      <c r="D30" s="40">
        <v>7.3917764906629717</v>
      </c>
      <c r="E30" s="38">
        <v>2848813.13</v>
      </c>
      <c r="F30" s="38">
        <v>2943098.3966000001</v>
      </c>
      <c r="G30" s="40">
        <v>3.3096332506723671</v>
      </c>
    </row>
    <row r="31" spans="1:7" ht="15" customHeight="1" x14ac:dyDescent="0.3">
      <c r="A31" s="72" t="s">
        <v>91</v>
      </c>
      <c r="B31" s="38">
        <v>236125.245</v>
      </c>
      <c r="C31" s="38">
        <v>208357.046</v>
      </c>
      <c r="D31" s="40">
        <v>-11.75994502409092</v>
      </c>
      <c r="E31" s="38">
        <v>1831617.088</v>
      </c>
      <c r="F31" s="38">
        <v>1821861.3069800001</v>
      </c>
      <c r="G31" s="40">
        <v>-0.53263212512679281</v>
      </c>
    </row>
    <row r="32" spans="1:7" ht="15" customHeight="1" x14ac:dyDescent="0.3">
      <c r="A32" s="75" t="s">
        <v>92</v>
      </c>
      <c r="B32" s="38">
        <v>25049.727999999999</v>
      </c>
      <c r="C32" s="38">
        <v>26632.902999999998</v>
      </c>
      <c r="D32" s="40">
        <v>6.3201285059861698</v>
      </c>
      <c r="E32" s="38">
        <v>671921.54999999993</v>
      </c>
      <c r="F32" s="38">
        <v>693940.3049600001</v>
      </c>
      <c r="G32" s="40">
        <v>3.2769829989825703</v>
      </c>
    </row>
    <row r="33" spans="1:7" ht="15" customHeight="1" x14ac:dyDescent="0.3">
      <c r="A33" s="75" t="s">
        <v>93</v>
      </c>
      <c r="B33" s="38">
        <v>14144.864</v>
      </c>
      <c r="C33" s="38">
        <v>8097.1220000000003</v>
      </c>
      <c r="D33" s="40">
        <v>-42.755745124166623</v>
      </c>
      <c r="E33" s="38">
        <v>341294.505</v>
      </c>
      <c r="F33" s="38">
        <v>342749.21798000002</v>
      </c>
      <c r="G33" s="40">
        <v>0.42623392955008488</v>
      </c>
    </row>
    <row r="34" spans="1:7" ht="15" customHeight="1" x14ac:dyDescent="0.3">
      <c r="A34" s="75" t="s">
        <v>94</v>
      </c>
      <c r="B34" s="38">
        <v>237215.40700000001</v>
      </c>
      <c r="C34" s="38">
        <v>221082.36199999999</v>
      </c>
      <c r="D34" s="40">
        <v>-6.8010106105797812</v>
      </c>
      <c r="E34" s="38">
        <v>1531642.9499999997</v>
      </c>
      <c r="F34" s="38">
        <v>1447099.3670699999</v>
      </c>
      <c r="G34" s="40">
        <v>-5.5197970865207076</v>
      </c>
    </row>
    <row r="35" spans="1:7" ht="15" customHeight="1" x14ac:dyDescent="0.3">
      <c r="A35" s="75" t="s">
        <v>95</v>
      </c>
      <c r="B35" s="38">
        <v>-40284.754000000001</v>
      </c>
      <c r="C35" s="38">
        <v>-47455.341</v>
      </c>
      <c r="D35" s="40">
        <v>-17.799753723207541</v>
      </c>
      <c r="E35" s="38">
        <v>-713241.9169999999</v>
      </c>
      <c r="F35" s="38">
        <v>-661927.58302999998</v>
      </c>
      <c r="G35" s="40">
        <v>7.194520224755653</v>
      </c>
    </row>
    <row r="36" spans="1:7" ht="15" customHeight="1" x14ac:dyDescent="0.3">
      <c r="A36" s="72" t="s">
        <v>96</v>
      </c>
      <c r="B36" s="38">
        <v>74454.546000000002</v>
      </c>
      <c r="C36" s="38">
        <v>85506.664000000004</v>
      </c>
      <c r="D36" s="40">
        <v>14.84411442116644</v>
      </c>
      <c r="E36" s="38">
        <v>503974.68099999998</v>
      </c>
      <c r="F36" s="38">
        <v>558994.84497999994</v>
      </c>
      <c r="G36" s="40">
        <v>10.917247642446537</v>
      </c>
    </row>
    <row r="37" spans="1:7" ht="15" customHeight="1" x14ac:dyDescent="0.3">
      <c r="A37" s="72" t="s">
        <v>97</v>
      </c>
      <c r="B37" s="38">
        <v>51730.288</v>
      </c>
      <c r="C37" s="38">
        <v>55917.589</v>
      </c>
      <c r="D37" s="40">
        <v>8.0944861548035441</v>
      </c>
      <c r="E37" s="38">
        <v>341678.68699999998</v>
      </c>
      <c r="F37" s="38">
        <v>346978.58541</v>
      </c>
      <c r="G37" s="40">
        <v>1.5511352073300444</v>
      </c>
    </row>
    <row r="38" spans="1:7" ht="28.2" customHeight="1" x14ac:dyDescent="0.3">
      <c r="A38" s="69" t="s">
        <v>98</v>
      </c>
      <c r="B38" s="38">
        <v>402469.95567000005</v>
      </c>
      <c r="C38" s="38">
        <v>163506.4045</v>
      </c>
      <c r="D38" s="40">
        <v>-59.374258327479993</v>
      </c>
      <c r="E38" s="38">
        <v>3366915.901848</v>
      </c>
      <c r="F38" s="38">
        <v>2223806.0064900001</v>
      </c>
      <c r="G38" s="40">
        <v>-33.951245848777539</v>
      </c>
    </row>
    <row r="39" spans="1:7" x14ac:dyDescent="0.3">
      <c r="A39" s="72" t="s">
        <v>99</v>
      </c>
      <c r="B39" s="38">
        <v>178823.69641</v>
      </c>
      <c r="C39" s="38">
        <v>135716.52315999998</v>
      </c>
      <c r="D39" s="40">
        <v>-24.105962529241971</v>
      </c>
      <c r="E39" s="38">
        <v>1858000.601028</v>
      </c>
      <c r="F39" s="38">
        <v>1023878.67064</v>
      </c>
      <c r="G39" s="40">
        <v>-44.893523173592868</v>
      </c>
    </row>
    <row r="40" spans="1:7" x14ac:dyDescent="0.3">
      <c r="A40" s="72" t="s">
        <v>100</v>
      </c>
      <c r="B40" s="38">
        <v>82004.604899999991</v>
      </c>
      <c r="C40" s="96" t="s">
        <v>73</v>
      </c>
      <c r="D40" s="74" t="s">
        <v>73</v>
      </c>
      <c r="E40" s="38">
        <v>400575.94052</v>
      </c>
      <c r="F40" s="96" t="s">
        <v>73</v>
      </c>
      <c r="G40" s="40" t="s">
        <v>73</v>
      </c>
    </row>
    <row r="41" spans="1:7" s="68" customFormat="1" ht="13.95" customHeight="1" x14ac:dyDescent="0.3">
      <c r="A41" s="72" t="s">
        <v>101</v>
      </c>
      <c r="B41" s="38">
        <v>141641.65436000002</v>
      </c>
      <c r="C41" s="96" t="s">
        <v>73</v>
      </c>
      <c r="D41" s="74" t="s">
        <v>73</v>
      </c>
      <c r="E41" s="38">
        <v>1108339.3603000001</v>
      </c>
      <c r="F41" s="96" t="s">
        <v>73</v>
      </c>
      <c r="G41" s="40" t="s">
        <v>73</v>
      </c>
    </row>
    <row r="42" spans="1:7" s="68" customFormat="1" ht="27.6" customHeight="1" x14ac:dyDescent="0.3">
      <c r="A42" s="69" t="s">
        <v>102</v>
      </c>
      <c r="B42" s="38">
        <v>506</v>
      </c>
      <c r="C42" s="38">
        <v>573</v>
      </c>
      <c r="D42" s="40">
        <v>13.24110671936759</v>
      </c>
      <c r="E42" s="38">
        <v>3414</v>
      </c>
      <c r="F42" s="38">
        <v>3494</v>
      </c>
      <c r="G42" s="40">
        <v>2.3432923257176332</v>
      </c>
    </row>
    <row r="43" spans="1:7" s="68" customFormat="1" ht="15" customHeight="1" x14ac:dyDescent="0.3">
      <c r="A43" s="72" t="s">
        <v>103</v>
      </c>
      <c r="B43" s="96" t="s">
        <v>73</v>
      </c>
      <c r="C43" s="96" t="s">
        <v>73</v>
      </c>
      <c r="D43" s="74" t="s">
        <v>73</v>
      </c>
      <c r="E43" s="96" t="s">
        <v>73</v>
      </c>
      <c r="F43" s="96" t="s">
        <v>73</v>
      </c>
      <c r="G43" s="40" t="s">
        <v>73</v>
      </c>
    </row>
    <row r="44" spans="1:7" s="68" customFormat="1" ht="15" customHeight="1" x14ac:dyDescent="0.3">
      <c r="A44" s="72" t="s">
        <v>104</v>
      </c>
      <c r="B44" s="96" t="s">
        <v>73</v>
      </c>
      <c r="C44" s="96" t="s">
        <v>73</v>
      </c>
      <c r="D44" s="74" t="s">
        <v>73</v>
      </c>
      <c r="E44" s="96" t="s">
        <v>73</v>
      </c>
      <c r="F44" s="96" t="s">
        <v>73</v>
      </c>
      <c r="G44" s="40" t="s">
        <v>73</v>
      </c>
    </row>
    <row r="45" spans="1:7" ht="15" customHeight="1" x14ac:dyDescent="0.3">
      <c r="A45" s="69" t="s">
        <v>105</v>
      </c>
      <c r="B45" s="38">
        <v>505</v>
      </c>
      <c r="C45" s="38">
        <v>558</v>
      </c>
      <c r="D45" s="40">
        <v>10.495049504950495</v>
      </c>
      <c r="E45" s="38">
        <v>3396</v>
      </c>
      <c r="F45" s="38">
        <v>3398</v>
      </c>
      <c r="G45" s="40">
        <v>5.8892815076560655E-2</v>
      </c>
    </row>
    <row r="46" spans="1:7" ht="15" customHeight="1" x14ac:dyDescent="0.3">
      <c r="A46" s="72" t="s">
        <v>106</v>
      </c>
      <c r="B46" s="96" t="s">
        <v>73</v>
      </c>
      <c r="C46" s="96" t="s">
        <v>73</v>
      </c>
      <c r="D46" s="74" t="s">
        <v>73</v>
      </c>
      <c r="E46" s="96" t="s">
        <v>73</v>
      </c>
      <c r="F46" s="96" t="s">
        <v>73</v>
      </c>
      <c r="G46" s="40" t="s">
        <v>73</v>
      </c>
    </row>
    <row r="47" spans="1:7" ht="15" customHeight="1" x14ac:dyDescent="0.3">
      <c r="A47" s="72" t="s">
        <v>104</v>
      </c>
      <c r="B47" s="96" t="s">
        <v>73</v>
      </c>
      <c r="C47" s="96" t="s">
        <v>73</v>
      </c>
      <c r="D47" s="74" t="s">
        <v>73</v>
      </c>
      <c r="E47" s="96" t="s">
        <v>73</v>
      </c>
      <c r="F47" s="96" t="s">
        <v>73</v>
      </c>
      <c r="G47" s="40" t="s">
        <v>73</v>
      </c>
    </row>
    <row r="48" spans="1:7" ht="28.95" customHeight="1" x14ac:dyDescent="0.3">
      <c r="A48" s="73" t="s">
        <v>107</v>
      </c>
      <c r="B48" s="38">
        <v>7699244.2537534377</v>
      </c>
      <c r="C48" s="38">
        <v>6696868.0089258002</v>
      </c>
      <c r="D48" s="40">
        <v>-13.019151124332387</v>
      </c>
      <c r="E48" s="38">
        <v>50399624.881491885</v>
      </c>
      <c r="F48" s="38">
        <v>47752010.280161627</v>
      </c>
      <c r="G48" s="40">
        <v>-5.2532426730472235</v>
      </c>
    </row>
    <row r="49" spans="1:8" ht="15" customHeight="1" x14ac:dyDescent="0.3">
      <c r="A49" s="72" t="s">
        <v>108</v>
      </c>
      <c r="B49" s="38">
        <v>6687602.0513667539</v>
      </c>
      <c r="C49" s="38">
        <v>5771078.7441427801</v>
      </c>
      <c r="D49" s="40">
        <v>-13.704812280758583</v>
      </c>
      <c r="E49" s="38">
        <v>42524919.38962134</v>
      </c>
      <c r="F49" s="38">
        <v>40091538.98902069</v>
      </c>
      <c r="G49" s="40">
        <v>-5.7222457691349362</v>
      </c>
    </row>
    <row r="50" spans="1:8" ht="15" customHeight="1" x14ac:dyDescent="0.3">
      <c r="A50" s="72" t="s">
        <v>109</v>
      </c>
      <c r="B50" s="38">
        <v>1011642.2023866839</v>
      </c>
      <c r="C50" s="38">
        <v>925789.26478250301</v>
      </c>
      <c r="D50" s="40">
        <v>-8.4864922995141097</v>
      </c>
      <c r="E50" s="38">
        <v>7874705.4918705374</v>
      </c>
      <c r="F50" s="38">
        <v>7660471.2911404148</v>
      </c>
      <c r="G50" s="40">
        <v>-2.7205360372052971</v>
      </c>
    </row>
    <row r="51" spans="1:8" ht="15" customHeight="1" x14ac:dyDescent="0.3">
      <c r="A51" s="69" t="s">
        <v>110</v>
      </c>
      <c r="B51" s="38">
        <v>870794.65786184475</v>
      </c>
      <c r="C51" s="38">
        <v>881256.00000006321</v>
      </c>
      <c r="D51" s="40">
        <v>1.2013558011374705</v>
      </c>
      <c r="E51" s="38">
        <v>5706029.8121462287</v>
      </c>
      <c r="F51" s="38">
        <v>5825171.8691552551</v>
      </c>
      <c r="G51" s="40">
        <v>2.0880027082125094</v>
      </c>
    </row>
    <row r="52" spans="1:8" ht="15" customHeight="1" x14ac:dyDescent="0.3">
      <c r="A52" s="72" t="s">
        <v>111</v>
      </c>
      <c r="B52" s="38">
        <v>748337.65786185022</v>
      </c>
      <c r="C52" s="38">
        <v>763306.00000000605</v>
      </c>
      <c r="D52" s="40">
        <v>2.0002123347531868</v>
      </c>
      <c r="E52" s="38">
        <v>4790153.8121462148</v>
      </c>
      <c r="F52" s="38">
        <v>4918395.8691552365</v>
      </c>
      <c r="G52" s="40">
        <v>2.6772012348297283</v>
      </c>
    </row>
    <row r="53" spans="1:8" ht="15" customHeight="1" x14ac:dyDescent="0.3">
      <c r="A53" s="72" t="s">
        <v>112</v>
      </c>
      <c r="B53" s="38">
        <v>122456.99999999453</v>
      </c>
      <c r="C53" s="38">
        <v>117949.99999999846</v>
      </c>
      <c r="D53" s="40">
        <v>-3.6804755955121164</v>
      </c>
      <c r="E53" s="38">
        <v>915876.00000001513</v>
      </c>
      <c r="F53" s="38">
        <v>906775.99999999639</v>
      </c>
      <c r="G53" s="40">
        <v>-0.99358428433746415</v>
      </c>
    </row>
    <row r="54" spans="1:8" ht="15" customHeight="1" x14ac:dyDescent="0.3">
      <c r="A54" s="77" t="s">
        <v>113</v>
      </c>
      <c r="B54" s="78">
        <v>1951063.463989828</v>
      </c>
      <c r="C54" s="78">
        <v>1985724.9597900219</v>
      </c>
      <c r="D54" s="79">
        <v>1.776543738321706</v>
      </c>
      <c r="E54" s="78">
        <v>12868119.349823754</v>
      </c>
      <c r="F54" s="78">
        <v>13589211.665169159</v>
      </c>
      <c r="G54" s="79">
        <v>5.6037117448345786</v>
      </c>
    </row>
    <row r="55" spans="1:8" ht="30" customHeight="1" x14ac:dyDescent="0.3">
      <c r="A55" s="110" t="s">
        <v>114</v>
      </c>
      <c r="B55" s="58"/>
      <c r="D55" s="59"/>
      <c r="F55" s="59"/>
      <c r="G55" s="59"/>
      <c r="H55" s="59"/>
    </row>
    <row r="56" spans="1:8" ht="12.75" customHeight="1" x14ac:dyDescent="0.3">
      <c r="A56" s="49" t="s">
        <v>63</v>
      </c>
      <c r="B56" s="50"/>
      <c r="C56" s="53"/>
      <c r="D56" s="53"/>
      <c r="E56" s="53"/>
      <c r="F56" s="80"/>
      <c r="G56" s="51"/>
    </row>
    <row r="57" spans="1:8" ht="12.75" customHeight="1" x14ac:dyDescent="0.3">
      <c r="A57" s="110" t="s">
        <v>64</v>
      </c>
      <c r="B57" s="83"/>
      <c r="C57" s="56"/>
      <c r="D57" s="56"/>
      <c r="E57" s="56"/>
      <c r="F57" s="81"/>
      <c r="G57" s="55"/>
    </row>
    <row r="58" spans="1:8" ht="12.75" customHeight="1" x14ac:dyDescent="0.3">
      <c r="A58" s="110" t="s">
        <v>115</v>
      </c>
      <c r="B58" s="50"/>
      <c r="C58" s="53"/>
      <c r="D58" s="53"/>
      <c r="E58" s="53"/>
      <c r="F58" s="80"/>
      <c r="G58" s="51"/>
    </row>
    <row r="59" spans="1:8" ht="12.75" customHeight="1" x14ac:dyDescent="0.3">
      <c r="A59" s="49" t="s">
        <v>116</v>
      </c>
      <c r="B59" s="50"/>
      <c r="C59" s="53"/>
      <c r="D59" s="53"/>
      <c r="E59" s="53"/>
      <c r="F59" s="80"/>
      <c r="G59" s="51"/>
    </row>
    <row r="60" spans="1:8" ht="12.75" customHeight="1" x14ac:dyDescent="0.3">
      <c r="A60" s="110" t="s">
        <v>117</v>
      </c>
      <c r="B60" s="50"/>
      <c r="C60" s="53"/>
      <c r="D60" s="53"/>
      <c r="E60" s="53"/>
      <c r="F60" s="80"/>
      <c r="G60" s="51"/>
    </row>
    <row r="61" spans="1:8" ht="12.75" customHeight="1" x14ac:dyDescent="0.3">
      <c r="A61" s="108" t="s">
        <v>118</v>
      </c>
      <c r="B61" s="82"/>
      <c r="C61" s="53"/>
      <c r="D61" s="53"/>
      <c r="E61" s="53"/>
      <c r="F61" s="80"/>
      <c r="G61" s="51"/>
    </row>
    <row r="62" spans="1:8" ht="12.75" customHeight="1" x14ac:dyDescent="0.3">
      <c r="A62" s="108" t="s">
        <v>119</v>
      </c>
      <c r="B62" s="82"/>
      <c r="C62" s="53"/>
      <c r="D62" s="53"/>
      <c r="E62" s="53"/>
      <c r="F62" s="80"/>
      <c r="G62" s="51"/>
    </row>
    <row r="63" spans="1:8" ht="12.75" customHeight="1" x14ac:dyDescent="0.3">
      <c r="A63" s="110" t="s">
        <v>120</v>
      </c>
      <c r="B63" s="82"/>
      <c r="C63" s="53"/>
      <c r="D63" s="53"/>
      <c r="E63" s="53"/>
      <c r="F63" s="80"/>
      <c r="G63" s="51"/>
    </row>
    <row r="64" spans="1:8" ht="12.75" customHeight="1" x14ac:dyDescent="0.3">
      <c r="A64" s="110" t="s">
        <v>121</v>
      </c>
      <c r="B64" s="82"/>
      <c r="C64" s="53"/>
      <c r="D64" s="53"/>
      <c r="E64" s="53"/>
      <c r="F64" s="80"/>
      <c r="G64" s="51"/>
    </row>
    <row r="65" spans="1:7" x14ac:dyDescent="0.3">
      <c r="A65" s="49" t="s">
        <v>122</v>
      </c>
      <c r="B65" s="82"/>
      <c r="C65" s="53"/>
      <c r="D65" s="53"/>
      <c r="E65" s="53"/>
      <c r="F65" s="80"/>
      <c r="G65" s="51"/>
    </row>
    <row r="66" spans="1:7" x14ac:dyDescent="0.3">
      <c r="A66" s="49" t="s">
        <v>123</v>
      </c>
    </row>
  </sheetData>
  <phoneticPr fontId="8" type="noConversion"/>
  <printOptions horizontalCentered="1"/>
  <pageMargins left="0.7" right="0.7" top="0.75" bottom="0.75" header="0.3" footer="0.3"/>
  <pageSetup scale="63" orientation="portrait" r:id="rId1"/>
  <headerFooter alignWithMargins="0">
    <oddFooter>&amp;LDBEDT Monthly Economic Indicators&amp;Rhttp://dbedt.hawaii.gov/economic/mei/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K69"/>
  <sheetViews>
    <sheetView zoomScale="85" zoomScaleNormal="85" workbookViewId="0"/>
  </sheetViews>
  <sheetFormatPr defaultColWidth="9.109375" defaultRowHeight="15.6" x14ac:dyDescent="0.3"/>
  <cols>
    <col min="1" max="1" width="58" style="57" customWidth="1"/>
    <col min="2" max="2" width="12.33203125" style="57" customWidth="1"/>
    <col min="3" max="3" width="12.33203125" style="58" customWidth="1"/>
    <col min="4" max="4" width="14" style="58" customWidth="1"/>
    <col min="5" max="5" width="14" style="59" customWidth="1"/>
    <col min="6" max="6" width="14" style="27" customWidth="1"/>
    <col min="7" max="7" width="14" style="58" customWidth="1"/>
    <col min="8" max="8" width="9.109375" style="27"/>
    <col min="9" max="9" width="14" style="27" customWidth="1"/>
    <col min="10" max="16384" width="9.109375" style="27"/>
  </cols>
  <sheetData>
    <row r="1" spans="1:11" ht="19.95" customHeight="1" x14ac:dyDescent="0.3">
      <c r="A1" s="17" t="str">
        <f ca="1">"MONTHLY ECONOMIC INDICATORS: "&amp;I1&amp;"_"&amp;UPPER(TEXT(TODAY(),"MMMM d, yyyy"))</f>
        <v>MONTHLY ECONOMIC INDICATORS: _SEPTEMBER 2, 2026</v>
      </c>
      <c r="B1" s="18"/>
      <c r="C1" s="61"/>
      <c r="D1" s="61"/>
      <c r="E1" s="19"/>
      <c r="F1" s="18"/>
      <c r="G1" s="63"/>
      <c r="H1" s="26"/>
      <c r="J1" s="64"/>
      <c r="K1" s="64"/>
    </row>
    <row r="2" spans="1:11" ht="33" customHeight="1" x14ac:dyDescent="0.3">
      <c r="A2" s="22" t="str">
        <f>'MEI 2026-07 ADA2 SA'!$A$2</f>
        <v>MONTH OF JULY 2026</v>
      </c>
      <c r="B2" s="22"/>
      <c r="C2" s="62"/>
      <c r="D2" s="62"/>
      <c r="E2" s="23"/>
      <c r="F2" s="62"/>
      <c r="G2" s="62"/>
      <c r="H2" s="26"/>
      <c r="J2" s="64"/>
      <c r="K2" s="64"/>
    </row>
    <row r="3" spans="1:11" s="68" customFormat="1" ht="61.95" customHeight="1" x14ac:dyDescent="0.3">
      <c r="A3" s="65" t="s">
        <v>124</v>
      </c>
      <c r="B3" s="31" t="str">
        <f>'MEI 2026-07 ADA2 State'!B3</f>
        <v>JULY 2025</v>
      </c>
      <c r="C3" s="66" t="str">
        <f>'MEI 2026-07 ADA2 State'!C3</f>
        <v>JULY 2026</v>
      </c>
      <c r="D3" s="32" t="str">
        <f>'MEI 2026-07 ADA2 State'!D3</f>
        <v>Month Percentage Change</v>
      </c>
      <c r="E3" s="84" t="str">
        <f>'MEI 2026-07 ADA2 State'!E3</f>
        <v>January 2025 through July 2025 YTD</v>
      </c>
      <c r="F3" s="84" t="str">
        <f>'MEI 2026-07 ADA2 State'!F3</f>
        <v>January 2026 through July 2026 YTD</v>
      </c>
      <c r="G3" s="67" t="str">
        <f>'MEI 2026-07 ADA2 State'!G3</f>
        <v>YTD Percentage Change</v>
      </c>
    </row>
    <row r="4" spans="1:11" x14ac:dyDescent="0.3">
      <c r="A4" s="69" t="s">
        <v>68</v>
      </c>
      <c r="B4" s="70">
        <f>[1]COMBO_frmls!PZ75</f>
        <v>474750</v>
      </c>
      <c r="C4" s="70">
        <f>[1]COMBO_frmls!QA75</f>
        <v>475650</v>
      </c>
      <c r="D4" s="71">
        <f>[1]COMBO_frmls!QB75</f>
        <v>0.18957345971563982</v>
      </c>
      <c r="E4" s="70">
        <f>[1]COMBO_frmls!QC75</f>
        <v>476750</v>
      </c>
      <c r="F4" s="70">
        <f>[1]COMBO_frmls!QD75</f>
        <v>477000</v>
      </c>
      <c r="G4" s="71">
        <f>[1]COMBO_frmls!QE75</f>
        <v>5.2438384897745147E-2</v>
      </c>
    </row>
    <row r="5" spans="1:11" x14ac:dyDescent="0.3">
      <c r="A5" s="72" t="s">
        <v>69</v>
      </c>
      <c r="B5" s="38">
        <f>[1]COMBO_frmls!PZ76</f>
        <v>464500</v>
      </c>
      <c r="C5" s="38">
        <f>[1]COMBO_frmls!QA76</f>
        <v>462500</v>
      </c>
      <c r="D5" s="40">
        <f>[1]COMBO_frmls!QB76</f>
        <v>-0.4305705059203444</v>
      </c>
      <c r="E5" s="38">
        <f>[1]COMBO_frmls!QC76</f>
        <v>465900</v>
      </c>
      <c r="F5" s="38">
        <f>[1]COMBO_frmls!QD76</f>
        <v>465350</v>
      </c>
      <c r="G5" s="40">
        <f>[1]COMBO_frmls!QE76</f>
        <v>-0.11805108392358875</v>
      </c>
    </row>
    <row r="6" spans="1:11" x14ac:dyDescent="0.3">
      <c r="A6" s="72" t="s">
        <v>70</v>
      </c>
      <c r="B6" s="38">
        <f>[1]COMBO_frmls!PZ77</f>
        <v>10250</v>
      </c>
      <c r="C6" s="38">
        <f>[1]COMBO_frmls!QA77</f>
        <v>13200</v>
      </c>
      <c r="D6" s="40">
        <f>[1]COMBO_frmls!QB77</f>
        <v>28.780487804878046</v>
      </c>
      <c r="E6" s="38">
        <f>[1]COMBO_frmls!QC77</f>
        <v>10850</v>
      </c>
      <c r="F6" s="38">
        <f>[1]COMBO_frmls!QD77</f>
        <v>11650</v>
      </c>
      <c r="G6" s="40">
        <f>[1]COMBO_frmls!QE77</f>
        <v>7.3732718894009217</v>
      </c>
    </row>
    <row r="7" spans="1:11" ht="13.95" customHeight="1" x14ac:dyDescent="0.3">
      <c r="A7" s="69" t="s">
        <v>71</v>
      </c>
      <c r="B7" s="40">
        <f>[1]COMBO_frmls!PZ78</f>
        <v>2.2000000000000002</v>
      </c>
      <c r="C7" s="40">
        <f>[1]COMBO_frmls!QA78</f>
        <v>2.8</v>
      </c>
      <c r="D7" s="40">
        <f>[1]COMBO_frmls!QB78</f>
        <v>0.59999999999999964</v>
      </c>
      <c r="E7" s="40">
        <f>[1]COMBO_frmls!QC78</f>
        <v>2.3000000000000003</v>
      </c>
      <c r="F7" s="40">
        <f>[1]COMBO_frmls!QD78</f>
        <v>2.4000000000000004</v>
      </c>
      <c r="G7" s="40">
        <f>[1]COMBO_frmls!QE78</f>
        <v>0.10000000000000009</v>
      </c>
    </row>
    <row r="8" spans="1:11" ht="26.4" customHeight="1" x14ac:dyDescent="0.3">
      <c r="A8" s="73" t="s">
        <v>72</v>
      </c>
      <c r="B8" s="42" t="s">
        <v>73</v>
      </c>
      <c r="C8" s="42" t="s">
        <v>73</v>
      </c>
      <c r="D8" s="74" t="s">
        <v>73</v>
      </c>
      <c r="E8" s="42" t="s">
        <v>73</v>
      </c>
      <c r="F8" s="42" t="s">
        <v>73</v>
      </c>
      <c r="G8" s="40" t="s">
        <v>73</v>
      </c>
    </row>
    <row r="9" spans="1:11" x14ac:dyDescent="0.3">
      <c r="A9" s="72" t="s">
        <v>74</v>
      </c>
      <c r="B9" s="38">
        <f>[1]COMBO_frmls!PZ81</f>
        <v>457700</v>
      </c>
      <c r="C9" s="38">
        <f>[1]COMBO_frmls!QA81</f>
        <v>457200</v>
      </c>
      <c r="D9" s="40">
        <f>[1]COMBO_frmls!QB81</f>
        <v>-0.10924186148131965</v>
      </c>
      <c r="E9" s="38">
        <f>[1]COMBO_frmls!QC81</f>
        <v>462200</v>
      </c>
      <c r="F9" s="38">
        <f>[1]COMBO_frmls!QD81</f>
        <v>462000</v>
      </c>
      <c r="G9" s="40">
        <f>[1]COMBO_frmls!QE81</f>
        <v>-4.3271311120726956E-2</v>
      </c>
    </row>
    <row r="10" spans="1:11" x14ac:dyDescent="0.3">
      <c r="A10" s="75" t="s">
        <v>75</v>
      </c>
      <c r="B10" s="38">
        <f>[1]COMBO_frmls!PZ82</f>
        <v>29200</v>
      </c>
      <c r="C10" s="38">
        <f>[1]COMBO_frmls!QA82</f>
        <v>29700</v>
      </c>
      <c r="D10" s="40">
        <f>[1]COMBO_frmls!QB82</f>
        <v>1.7123287671232876</v>
      </c>
      <c r="E10" s="38">
        <f>[1]COMBO_frmls!QC82</f>
        <v>28800</v>
      </c>
      <c r="F10" s="38">
        <f>[1]COMBO_frmls!QD82</f>
        <v>29500</v>
      </c>
      <c r="G10" s="40">
        <f>[1]COMBO_frmls!QE82</f>
        <v>2.4305555555555558</v>
      </c>
    </row>
    <row r="11" spans="1:11" x14ac:dyDescent="0.3">
      <c r="A11" s="75" t="s">
        <v>76</v>
      </c>
      <c r="B11" s="38">
        <f>[1]COMBO_frmls!PZ83</f>
        <v>9700</v>
      </c>
      <c r="C11" s="38">
        <f>[1]COMBO_frmls!QA83</f>
        <v>9600</v>
      </c>
      <c r="D11" s="40">
        <f>[1]COMBO_frmls!QB83</f>
        <v>-1.0309278350515463</v>
      </c>
      <c r="E11" s="38">
        <f>[1]COMBO_frmls!QC83</f>
        <v>9700</v>
      </c>
      <c r="F11" s="38">
        <f>[1]COMBO_frmls!QD83</f>
        <v>9700</v>
      </c>
      <c r="G11" s="40">
        <f>[1]COMBO_frmls!QE83</f>
        <v>0</v>
      </c>
    </row>
    <row r="12" spans="1:11" x14ac:dyDescent="0.3">
      <c r="A12" s="75" t="s">
        <v>30</v>
      </c>
      <c r="B12" s="38">
        <f>[1]COMBO_frmls!PZ84</f>
        <v>13600</v>
      </c>
      <c r="C12" s="38">
        <f>[1]COMBO_frmls!QA84</f>
        <v>13600</v>
      </c>
      <c r="D12" s="40">
        <f>[1]COMBO_frmls!QB84</f>
        <v>0</v>
      </c>
      <c r="E12" s="38">
        <f>[1]COMBO_frmls!QC84</f>
        <v>13600</v>
      </c>
      <c r="F12" s="38">
        <f>[1]COMBO_frmls!QD84</f>
        <v>13900</v>
      </c>
      <c r="G12" s="40">
        <f>[1]COMBO_frmls!QE84</f>
        <v>2.2058823529411766</v>
      </c>
    </row>
    <row r="13" spans="1:11" x14ac:dyDescent="0.3">
      <c r="A13" s="75" t="s">
        <v>31</v>
      </c>
      <c r="B13" s="38">
        <f>[1]COMBO_frmls!PZ85</f>
        <v>41500</v>
      </c>
      <c r="C13" s="38">
        <f>[1]COMBO_frmls!QA85</f>
        <v>40700</v>
      </c>
      <c r="D13" s="40">
        <f>[1]COMBO_frmls!QB85</f>
        <v>-1.9277108433734942</v>
      </c>
      <c r="E13" s="38">
        <f>[1]COMBO_frmls!QC85</f>
        <v>41400</v>
      </c>
      <c r="F13" s="38">
        <f>[1]COMBO_frmls!QD85</f>
        <v>41100</v>
      </c>
      <c r="G13" s="40">
        <f>[1]COMBO_frmls!QE85</f>
        <v>-0.72463768115942029</v>
      </c>
    </row>
    <row r="14" spans="1:11" x14ac:dyDescent="0.3">
      <c r="A14" s="75" t="s">
        <v>77</v>
      </c>
      <c r="B14" s="38">
        <f>[1]COMBO_frmls!PZ86</f>
        <v>26200</v>
      </c>
      <c r="C14" s="38">
        <f>[1]COMBO_frmls!QA86</f>
        <v>25600</v>
      </c>
      <c r="D14" s="40">
        <f>[1]COMBO_frmls!QB86</f>
        <v>-2.2900763358778624</v>
      </c>
      <c r="E14" s="38">
        <f>[1]COMBO_frmls!QC86</f>
        <v>25900</v>
      </c>
      <c r="F14" s="38">
        <f>[1]COMBO_frmls!QD86</f>
        <v>25500</v>
      </c>
      <c r="G14" s="40">
        <f>[1]COMBO_frmls!QE86</f>
        <v>-1.5444015444015444</v>
      </c>
    </row>
    <row r="15" spans="1:11" x14ac:dyDescent="0.3">
      <c r="A15" s="75" t="s">
        <v>78</v>
      </c>
      <c r="B15" s="38">
        <f>[1]COMBO_frmls!PZ87</f>
        <v>5500</v>
      </c>
      <c r="C15" s="38">
        <f>[1]COMBO_frmls!QA87</f>
        <v>5700</v>
      </c>
      <c r="D15" s="40">
        <f>[1]COMBO_frmls!QB87</f>
        <v>3.6363636363636362</v>
      </c>
      <c r="E15" s="38">
        <f>[1]COMBO_frmls!QC87</f>
        <v>5600</v>
      </c>
      <c r="F15" s="38">
        <f>[1]COMBO_frmls!QD87</f>
        <v>5700</v>
      </c>
      <c r="G15" s="40">
        <f>[1]COMBO_frmls!QE87</f>
        <v>1.7857142857142856</v>
      </c>
    </row>
    <row r="16" spans="1:11" x14ac:dyDescent="0.3">
      <c r="A16" s="75" t="s">
        <v>79</v>
      </c>
      <c r="B16" s="38">
        <f>[1]COMBO_frmls!PZ88</f>
        <v>20800</v>
      </c>
      <c r="C16" s="38">
        <f>[1]COMBO_frmls!QA88</f>
        <v>19900</v>
      </c>
      <c r="D16" s="40">
        <f>[1]COMBO_frmls!QB88</f>
        <v>-4.3269230769230766</v>
      </c>
      <c r="E16" s="38">
        <f>[1]COMBO_frmls!QC88</f>
        <v>20600</v>
      </c>
      <c r="F16" s="38">
        <f>[1]COMBO_frmls!QD88</f>
        <v>20100</v>
      </c>
      <c r="G16" s="40">
        <f>[1]COMBO_frmls!QE88</f>
        <v>-2.4271844660194173</v>
      </c>
    </row>
    <row r="17" spans="1:7" x14ac:dyDescent="0.3">
      <c r="A17" s="75" t="s">
        <v>80</v>
      </c>
      <c r="B17" s="38">
        <f>[1]COMBO_frmls!PZ89</f>
        <v>56000</v>
      </c>
      <c r="C17" s="38">
        <f>[1]COMBO_frmls!QA89</f>
        <v>55900</v>
      </c>
      <c r="D17" s="40">
        <f>[1]COMBO_frmls!QB89</f>
        <v>-0.17857142857142858</v>
      </c>
      <c r="E17" s="38">
        <f>[1]COMBO_frmls!QC89</f>
        <v>56200</v>
      </c>
      <c r="F17" s="38">
        <f>[1]COMBO_frmls!QD89</f>
        <v>56500</v>
      </c>
      <c r="G17" s="40">
        <f>[1]COMBO_frmls!QE89</f>
        <v>0.53380782918149472</v>
      </c>
    </row>
    <row r="18" spans="1:7" x14ac:dyDescent="0.3">
      <c r="A18" s="75" t="s">
        <v>42</v>
      </c>
      <c r="B18" s="38">
        <f>[1]COMBO_frmls!PZ90</f>
        <v>11300</v>
      </c>
      <c r="C18" s="38">
        <f>[1]COMBO_frmls!QA90</f>
        <v>11400</v>
      </c>
      <c r="D18" s="40">
        <f>[1]COMBO_frmls!QB90</f>
        <v>0.88495575221238942</v>
      </c>
      <c r="E18" s="38">
        <f>[1]COMBO_frmls!QC90</f>
        <v>11700</v>
      </c>
      <c r="F18" s="38">
        <f>[1]COMBO_frmls!QD90</f>
        <v>11700</v>
      </c>
      <c r="G18" s="40">
        <f>[1]COMBO_frmls!QE90</f>
        <v>0</v>
      </c>
    </row>
    <row r="19" spans="1:7" x14ac:dyDescent="0.3">
      <c r="A19" s="75" t="s">
        <v>43</v>
      </c>
      <c r="B19" s="38">
        <f>[1]COMBO_frmls!PZ91</f>
        <v>57200</v>
      </c>
      <c r="C19" s="38">
        <f>[1]COMBO_frmls!QA91</f>
        <v>59400</v>
      </c>
      <c r="D19" s="40">
        <f>[1]COMBO_frmls!QB91</f>
        <v>3.8461538461538463</v>
      </c>
      <c r="E19" s="38">
        <f>[1]COMBO_frmls!QC91</f>
        <v>57200</v>
      </c>
      <c r="F19" s="38">
        <f>[1]COMBO_frmls!QD91</f>
        <v>58800</v>
      </c>
      <c r="G19" s="40">
        <f>[1]COMBO_frmls!QE91</f>
        <v>2.7972027972027971</v>
      </c>
    </row>
    <row r="20" spans="1:7" x14ac:dyDescent="0.3">
      <c r="A20" s="75" t="s">
        <v>45</v>
      </c>
      <c r="B20" s="38">
        <f>[1]COMBO_frmls!PZ92</f>
        <v>8300</v>
      </c>
      <c r="C20" s="38">
        <f>[1]COMBO_frmls!QA92</f>
        <v>8700</v>
      </c>
      <c r="D20" s="40">
        <f>[1]COMBO_frmls!QB92</f>
        <v>4.8192771084337354</v>
      </c>
      <c r="E20" s="38">
        <f>[1]COMBO_frmls!QC92</f>
        <v>8300</v>
      </c>
      <c r="F20" s="38">
        <f>[1]COMBO_frmls!QD92</f>
        <v>8500</v>
      </c>
      <c r="G20" s="40">
        <f>[1]COMBO_frmls!QE92</f>
        <v>2.4096385542168677</v>
      </c>
    </row>
    <row r="21" spans="1:7" x14ac:dyDescent="0.3">
      <c r="A21" s="76" t="s">
        <v>81</v>
      </c>
      <c r="B21" s="38">
        <f>[1]COMBO_frmls!PZ93</f>
        <v>18200</v>
      </c>
      <c r="C21" s="38">
        <f>[1]COMBO_frmls!QA93</f>
        <v>18800</v>
      </c>
      <c r="D21" s="40">
        <f>[1]COMBO_frmls!QB93</f>
        <v>3.296703296703297</v>
      </c>
      <c r="E21" s="38">
        <f>[1]COMBO_frmls!QC93</f>
        <v>18300</v>
      </c>
      <c r="F21" s="38">
        <f>[1]COMBO_frmls!QD93</f>
        <v>18700</v>
      </c>
      <c r="G21" s="40">
        <f>[1]COMBO_frmls!QE93</f>
        <v>2.1857923497267762</v>
      </c>
    </row>
    <row r="22" spans="1:7" x14ac:dyDescent="0.3">
      <c r="A22" s="76" t="s">
        <v>82</v>
      </c>
      <c r="B22" s="38">
        <f>[1]COMBO_frmls!PZ94</f>
        <v>46500</v>
      </c>
      <c r="C22" s="38">
        <f>[1]COMBO_frmls!QA94</f>
        <v>46700</v>
      </c>
      <c r="D22" s="40">
        <f>[1]COMBO_frmls!QB94</f>
        <v>0.43010752688172044</v>
      </c>
      <c r="E22" s="38">
        <f>[1]COMBO_frmls!QC94</f>
        <v>46300</v>
      </c>
      <c r="F22" s="38">
        <f>[1]COMBO_frmls!QD94</f>
        <v>46600</v>
      </c>
      <c r="G22" s="40">
        <f>[1]COMBO_frmls!QE94</f>
        <v>0.64794816414686829</v>
      </c>
    </row>
    <row r="23" spans="1:7" x14ac:dyDescent="0.3">
      <c r="A23" s="75" t="s">
        <v>83</v>
      </c>
      <c r="B23" s="38">
        <f>[1]COMBO_frmls!PZ95</f>
        <v>20200</v>
      </c>
      <c r="C23" s="38">
        <f>[1]COMBO_frmls!QA95</f>
        <v>19800</v>
      </c>
      <c r="D23" s="40">
        <f>[1]COMBO_frmls!QB95</f>
        <v>-1.9801980198019802</v>
      </c>
      <c r="E23" s="38">
        <f>[1]COMBO_frmls!QC95</f>
        <v>20200</v>
      </c>
      <c r="F23" s="38">
        <f>[1]COMBO_frmls!QD95</f>
        <v>20000</v>
      </c>
      <c r="G23" s="40">
        <f>[1]COMBO_frmls!QE95</f>
        <v>-0.99009900990099009</v>
      </c>
    </row>
    <row r="24" spans="1:7" x14ac:dyDescent="0.3">
      <c r="A24" s="75" t="s">
        <v>84</v>
      </c>
      <c r="B24" s="38">
        <f>[1]COMBO_frmls!PZ96</f>
        <v>93500</v>
      </c>
      <c r="C24" s="38">
        <f>[1]COMBO_frmls!QA96</f>
        <v>91700</v>
      </c>
      <c r="D24" s="40">
        <f>[1]COMBO_frmls!QB96</f>
        <v>-1.9251336898395723</v>
      </c>
      <c r="E24" s="38">
        <f>[1]COMBO_frmls!QC96</f>
        <v>98400</v>
      </c>
      <c r="F24" s="38">
        <f>[1]COMBO_frmls!QD96</f>
        <v>95900</v>
      </c>
      <c r="G24" s="40">
        <f>[1]COMBO_frmls!QE96</f>
        <v>-2.5406504065040649</v>
      </c>
    </row>
    <row r="25" spans="1:7" x14ac:dyDescent="0.3">
      <c r="A25" s="76" t="s">
        <v>85</v>
      </c>
      <c r="B25" s="38">
        <f>[1]COMBO_frmls!PZ97</f>
        <v>32299.999999999996</v>
      </c>
      <c r="C25" s="38">
        <f>[1]COMBO_frmls!QA97</f>
        <v>29700</v>
      </c>
      <c r="D25" s="40">
        <f>[1]COMBO_frmls!QB97</f>
        <v>-8.0495356037151602</v>
      </c>
      <c r="E25" s="38">
        <f>[1]COMBO_frmls!QC97</f>
        <v>32600</v>
      </c>
      <c r="F25" s="38">
        <f>[1]COMBO_frmls!QD97</f>
        <v>29900</v>
      </c>
      <c r="G25" s="40">
        <f>[1]COMBO_frmls!QE97</f>
        <v>-8.2822085889570545</v>
      </c>
    </row>
    <row r="26" spans="1:7" x14ac:dyDescent="0.3">
      <c r="A26" s="76" t="s">
        <v>86</v>
      </c>
      <c r="B26" s="38">
        <f>[1]COMBO_frmls!PZ98</f>
        <v>49000</v>
      </c>
      <c r="C26" s="38">
        <f>[1]COMBO_frmls!QA98</f>
        <v>49300</v>
      </c>
      <c r="D26" s="40">
        <f>[1]COMBO_frmls!QB98</f>
        <v>0.61224489795918369</v>
      </c>
      <c r="E26" s="38">
        <f>[1]COMBO_frmls!QC98</f>
        <v>53700</v>
      </c>
      <c r="F26" s="38">
        <f>[1]COMBO_frmls!QD98</f>
        <v>53500</v>
      </c>
      <c r="G26" s="40">
        <f>[1]COMBO_frmls!QE98</f>
        <v>-0.37243947858472998</v>
      </c>
    </row>
    <row r="27" spans="1:7" x14ac:dyDescent="0.3">
      <c r="A27" s="76" t="s">
        <v>87</v>
      </c>
      <c r="B27" s="38">
        <f>[1]COMBO_frmls!PZ99</f>
        <v>12200</v>
      </c>
      <c r="C27" s="38">
        <f>[1]COMBO_frmls!QA99</f>
        <v>12700</v>
      </c>
      <c r="D27" s="40">
        <f>[1]COMBO_frmls!QB99</f>
        <v>4.0983606557377046</v>
      </c>
      <c r="E27" s="38">
        <f>[1]COMBO_frmls!QC99</f>
        <v>12100</v>
      </c>
      <c r="F27" s="38">
        <f>[1]COMBO_frmls!QD99</f>
        <v>12500</v>
      </c>
      <c r="G27" s="40">
        <f>[1]COMBO_frmls!QE99</f>
        <v>3.3057851239669422</v>
      </c>
    </row>
    <row r="28" spans="1:7" ht="16.95" customHeight="1" x14ac:dyDescent="0.3">
      <c r="A28" s="72" t="s">
        <v>88</v>
      </c>
      <c r="B28" s="42" t="s">
        <v>73</v>
      </c>
      <c r="C28" s="42" t="s">
        <v>73</v>
      </c>
      <c r="D28" s="74" t="s">
        <v>73</v>
      </c>
      <c r="E28" s="42" t="s">
        <v>73</v>
      </c>
      <c r="F28" s="42" t="s">
        <v>73</v>
      </c>
      <c r="G28" s="40" t="s">
        <v>73</v>
      </c>
    </row>
    <row r="29" spans="1:7" ht="28.2" customHeight="1" x14ac:dyDescent="0.3">
      <c r="A29" s="72" t="s">
        <v>125</v>
      </c>
      <c r="B29" s="42" t="s">
        <v>73</v>
      </c>
      <c r="C29" s="42" t="s">
        <v>73</v>
      </c>
      <c r="D29" s="74" t="s">
        <v>73</v>
      </c>
      <c r="E29" s="42" t="s">
        <v>73</v>
      </c>
      <c r="F29" s="42" t="s">
        <v>73</v>
      </c>
      <c r="G29" s="40" t="s">
        <v>73</v>
      </c>
    </row>
    <row r="30" spans="1:7" x14ac:dyDescent="0.3">
      <c r="A30" s="72" t="s">
        <v>126</v>
      </c>
      <c r="B30" s="42" t="s">
        <v>73</v>
      </c>
      <c r="C30" s="42" t="s">
        <v>73</v>
      </c>
      <c r="D30" s="74" t="s">
        <v>73</v>
      </c>
      <c r="E30" s="42" t="s">
        <v>73</v>
      </c>
      <c r="F30" s="42" t="s">
        <v>73</v>
      </c>
      <c r="G30" s="40" t="s">
        <v>73</v>
      </c>
    </row>
    <row r="31" spans="1:7" x14ac:dyDescent="0.3">
      <c r="A31" s="75" t="s">
        <v>127</v>
      </c>
      <c r="B31" s="42" t="s">
        <v>73</v>
      </c>
      <c r="C31" s="42" t="s">
        <v>73</v>
      </c>
      <c r="D31" s="74" t="s">
        <v>73</v>
      </c>
      <c r="E31" s="42" t="s">
        <v>73</v>
      </c>
      <c r="F31" s="42" t="s">
        <v>73</v>
      </c>
      <c r="G31" s="40" t="s">
        <v>73</v>
      </c>
    </row>
    <row r="32" spans="1:7" x14ac:dyDescent="0.3">
      <c r="A32" s="75" t="s">
        <v>128</v>
      </c>
      <c r="B32" s="42" t="s">
        <v>73</v>
      </c>
      <c r="C32" s="42" t="s">
        <v>73</v>
      </c>
      <c r="D32" s="74" t="s">
        <v>73</v>
      </c>
      <c r="E32" s="42" t="s">
        <v>73</v>
      </c>
      <c r="F32" s="42" t="s">
        <v>73</v>
      </c>
      <c r="G32" s="40" t="s">
        <v>73</v>
      </c>
    </row>
    <row r="33" spans="1:7" x14ac:dyDescent="0.3">
      <c r="A33" s="75" t="s">
        <v>129</v>
      </c>
      <c r="B33" s="42" t="s">
        <v>73</v>
      </c>
      <c r="C33" s="42" t="s">
        <v>73</v>
      </c>
      <c r="D33" s="74" t="s">
        <v>73</v>
      </c>
      <c r="E33" s="42" t="s">
        <v>73</v>
      </c>
      <c r="F33" s="42" t="s">
        <v>73</v>
      </c>
      <c r="G33" s="40" t="s">
        <v>73</v>
      </c>
    </row>
    <row r="34" spans="1:7" x14ac:dyDescent="0.3">
      <c r="A34" s="75" t="s">
        <v>130</v>
      </c>
      <c r="B34" s="42" t="s">
        <v>73</v>
      </c>
      <c r="C34" s="42" t="s">
        <v>73</v>
      </c>
      <c r="D34" s="74" t="s">
        <v>73</v>
      </c>
      <c r="E34" s="42" t="s">
        <v>73</v>
      </c>
      <c r="F34" s="42" t="s">
        <v>73</v>
      </c>
      <c r="G34" s="40" t="s">
        <v>73</v>
      </c>
    </row>
    <row r="35" spans="1:7" x14ac:dyDescent="0.3">
      <c r="A35" s="72" t="s">
        <v>131</v>
      </c>
      <c r="B35" s="42" t="s">
        <v>73</v>
      </c>
      <c r="C35" s="42" t="s">
        <v>73</v>
      </c>
      <c r="D35" s="74" t="s">
        <v>73</v>
      </c>
      <c r="E35" s="42" t="s">
        <v>73</v>
      </c>
      <c r="F35" s="42" t="s">
        <v>73</v>
      </c>
      <c r="G35" s="40" t="s">
        <v>73</v>
      </c>
    </row>
    <row r="36" spans="1:7" ht="13.2" customHeight="1" x14ac:dyDescent="0.3">
      <c r="A36" s="72" t="s">
        <v>132</v>
      </c>
      <c r="B36" s="107">
        <f>[1]COMBO_frmls!PZ110</f>
        <v>33384.8295</v>
      </c>
      <c r="C36" s="107">
        <f>[1]COMBO_frmls!QA110</f>
        <v>35738.050000000003</v>
      </c>
      <c r="D36" s="113">
        <f>[1]COMBO_frmls!QB110</f>
        <v>7.0487719579337762</v>
      </c>
      <c r="E36" s="107">
        <f>[1]COMBO_frmls!QC110</f>
        <v>217456.44834999999</v>
      </c>
      <c r="F36" s="107">
        <f>[1]COMBO_frmls!QD110</f>
        <v>217167.56868000003</v>
      </c>
      <c r="G36" s="113">
        <f>[1]COMBO_frmls!QE110</f>
        <v>-0.13284483959519505</v>
      </c>
    </row>
    <row r="37" spans="1:7" ht="27.6" customHeight="1" x14ac:dyDescent="0.3">
      <c r="A37" s="69" t="str">
        <f>'MEI 2026-07 ADA2 State'!A38</f>
        <v>Private Building Permits ($1,000) (Level 1) [d] [e]</v>
      </c>
      <c r="B37" s="38">
        <f>[1]COMBO_frmls!PZ112</f>
        <v>198810.61516000002</v>
      </c>
      <c r="C37" s="38">
        <f>[1]COMBO_frmls!QA112</f>
        <v>45217.07</v>
      </c>
      <c r="D37" s="40">
        <f>[1]COMBO_frmls!QB112</f>
        <v>-77.256209401288785</v>
      </c>
      <c r="E37" s="38">
        <f>[1]COMBO_frmls!QC112</f>
        <v>2203941.0531699997</v>
      </c>
      <c r="F37" s="38">
        <f>[1]COMBO_frmls!QD112</f>
        <v>1326153.0461599999</v>
      </c>
      <c r="G37" s="40">
        <f>[1]COMBO_frmls!QE112</f>
        <v>-39.828107278434189</v>
      </c>
    </row>
    <row r="38" spans="1:7" x14ac:dyDescent="0.3">
      <c r="A38" s="72" t="str">
        <f>'MEI 2026-07 ADA2 State'!A39</f>
        <v>Residential (Level 2) [d] [e]</v>
      </c>
      <c r="B38" s="38">
        <f>[1]COMBO_frmls!PZ113</f>
        <v>86229.787400000001</v>
      </c>
      <c r="C38" s="38">
        <f>[1]COMBO_frmls!QA113</f>
        <v>45217.07</v>
      </c>
      <c r="D38" s="40">
        <f>[1]COMBO_frmls!QB113</f>
        <v>-47.562122830886167</v>
      </c>
      <c r="E38" s="38">
        <f>[1]COMBO_frmls!QC113</f>
        <v>1121196.7121000001</v>
      </c>
      <c r="F38" s="38">
        <f>[1]COMBO_frmls!QD113</f>
        <v>474512.23749999999</v>
      </c>
      <c r="G38" s="40">
        <f>[1]COMBO_frmls!QE113</f>
        <v>-57.678056635464159</v>
      </c>
    </row>
    <row r="39" spans="1:7" x14ac:dyDescent="0.3">
      <c r="A39" s="72" t="str">
        <f>'MEI 2026-07 ADA2 State'!A40</f>
        <v>Commercial &amp; industrial (Level 2) [d] [e] [f]</v>
      </c>
      <c r="B39" s="38">
        <f>[1]COMBO_frmls!PZ114</f>
        <v>2130.1628999999998</v>
      </c>
      <c r="C39" s="42" t="s">
        <v>73</v>
      </c>
      <c r="D39" s="74" t="s">
        <v>73</v>
      </c>
      <c r="E39" s="38">
        <f>[1]COMBO_frmls!QC114</f>
        <v>198470.52051999999</v>
      </c>
      <c r="F39" s="42" t="s">
        <v>73</v>
      </c>
      <c r="G39" s="40" t="s">
        <v>73</v>
      </c>
    </row>
    <row r="40" spans="1:7" s="68" customFormat="1" ht="16.95" customHeight="1" x14ac:dyDescent="0.3">
      <c r="A40" s="72" t="str">
        <f>'MEI 2026-07 ADA2 State'!A41</f>
        <v>Additions &amp; alterations (Level 2) [d] [e] [f]</v>
      </c>
      <c r="B40" s="38">
        <f>[1]COMBO_frmls!PZ115</f>
        <v>110450.66486000002</v>
      </c>
      <c r="C40" s="42" t="s">
        <v>73</v>
      </c>
      <c r="D40" s="74" t="s">
        <v>73</v>
      </c>
      <c r="E40" s="38">
        <f>[1]COMBO_frmls!QC115</f>
        <v>884273.82055000006</v>
      </c>
      <c r="F40" s="42" t="s">
        <v>73</v>
      </c>
      <c r="G40" s="40" t="s">
        <v>73</v>
      </c>
    </row>
    <row r="41" spans="1:7" s="68" customFormat="1" ht="26.4" customHeight="1" x14ac:dyDescent="0.3">
      <c r="A41" s="69" t="str">
        <f>'MEI 2026-07 ADA2 State'!A42</f>
        <v>Single-family home resales (Level 1)</v>
      </c>
      <c r="B41" s="38">
        <f>[1]COMBO_frmls!PZ117</f>
        <v>249</v>
      </c>
      <c r="C41" s="38">
        <f>[1]COMBO_frmls!QA117</f>
        <v>300</v>
      </c>
      <c r="D41" s="40">
        <f>[1]COMBO_frmls!QB117</f>
        <v>20.481927710843372</v>
      </c>
      <c r="E41" s="38">
        <f>[1]COMBO_frmls!QC117</f>
        <v>1583</v>
      </c>
      <c r="F41" s="38">
        <f>[1]COMBO_frmls!QD117</f>
        <v>1686</v>
      </c>
      <c r="G41" s="40">
        <f>[1]COMBO_frmls!QE117</f>
        <v>6.5066329753632344</v>
      </c>
    </row>
    <row r="42" spans="1:7" s="68" customFormat="1" x14ac:dyDescent="0.3">
      <c r="A42" s="72" t="str">
        <f>'MEI 2026-07 ADA2 State'!A43</f>
        <v>Median selling price (Level 2)</v>
      </c>
      <c r="B42" s="38">
        <f>[1]COMBO_frmls!PZ118</f>
        <v>1075000</v>
      </c>
      <c r="C42" s="38">
        <f>[1]COMBO_frmls!QA118</f>
        <v>1224500</v>
      </c>
      <c r="D42" s="40">
        <f>[1]COMBO_frmls!QB118</f>
        <v>13.906976744186048</v>
      </c>
      <c r="E42" s="38">
        <f>[1]COMBO_frmls!QC118</f>
        <v>1150000</v>
      </c>
      <c r="F42" s="38">
        <f>[1]COMBO_frmls!QD118</f>
        <v>1185000</v>
      </c>
      <c r="G42" s="40">
        <f>[1]COMBO_frmls!QE118</f>
        <v>3.0434782608695654</v>
      </c>
    </row>
    <row r="43" spans="1:7" s="68" customFormat="1" x14ac:dyDescent="0.3">
      <c r="A43" s="72" t="str">
        <f>'MEI 2026-07 ADA2 State'!A44</f>
        <v>Inventory (aver. units on market) (Level 2) [g]</v>
      </c>
      <c r="B43" s="38">
        <f>[1]COMBO_frmls!PZ119</f>
        <v>852</v>
      </c>
      <c r="C43" s="38">
        <f>[1]COMBO_frmls!QA119</f>
        <v>802</v>
      </c>
      <c r="D43" s="40">
        <f>[1]COMBO_frmls!QB119</f>
        <v>-5.868544600938967</v>
      </c>
      <c r="E43" s="38">
        <f>[1]COMBO_frmls!QC119</f>
        <v>795.85714285714289</v>
      </c>
      <c r="F43" s="38">
        <f>[1]COMBO_frmls!QD119</f>
        <v>722.57142857142856</v>
      </c>
      <c r="G43" s="40">
        <f>[1]COMBO_frmls!QE119</f>
        <v>-9.2084006462035592</v>
      </c>
    </row>
    <row r="44" spans="1:7" s="68" customFormat="1" x14ac:dyDescent="0.3">
      <c r="A44" s="69" t="str">
        <f>'MEI 2026-07 ADA2 State'!A45</f>
        <v>Condo/Apt/Townhouse units resales (Level 1)</v>
      </c>
      <c r="B44" s="38">
        <f>[1]COMBO_frmls!PZ120</f>
        <v>389</v>
      </c>
      <c r="C44" s="38">
        <f>[1]COMBO_frmls!QA120</f>
        <v>416</v>
      </c>
      <c r="D44" s="40">
        <f>[1]COMBO_frmls!QB120</f>
        <v>6.9408740359897179</v>
      </c>
      <c r="E44" s="38">
        <f>[1]COMBO_frmls!QC120</f>
        <v>2490</v>
      </c>
      <c r="F44" s="38">
        <f>[1]COMBO_frmls!QD120</f>
        <v>2469</v>
      </c>
      <c r="G44" s="40">
        <f>[1]COMBO_frmls!QE120</f>
        <v>-0.84337349397590367</v>
      </c>
    </row>
    <row r="45" spans="1:7" s="68" customFormat="1" x14ac:dyDescent="0.3">
      <c r="A45" s="72" t="str">
        <f>'MEI 2026-07 ADA2 State'!A46</f>
        <v>Median price (Level 2)</v>
      </c>
      <c r="B45" s="38">
        <f>[1]COMBO_frmls!PZ121</f>
        <v>490000</v>
      </c>
      <c r="C45" s="38">
        <f>[1]COMBO_frmls!QA121</f>
        <v>504500</v>
      </c>
      <c r="D45" s="40">
        <f>[1]COMBO_frmls!QB121</f>
        <v>2.9591836734693877</v>
      </c>
      <c r="E45" s="38">
        <f>[1]COMBO_frmls!QC121</f>
        <v>500765</v>
      </c>
      <c r="F45" s="38">
        <f>[1]COMBO_frmls!QD121</f>
        <v>513386</v>
      </c>
      <c r="G45" s="40">
        <f>[1]COMBO_frmls!QE121</f>
        <v>2.5203438738729744</v>
      </c>
    </row>
    <row r="46" spans="1:7" ht="13.2" customHeight="1" x14ac:dyDescent="0.3">
      <c r="A46" s="72" t="str">
        <f>'MEI 2026-07 ADA2 State'!A47</f>
        <v>Inventory (aver. units on market) (Level 2) [g]</v>
      </c>
      <c r="B46" s="38">
        <f>[1]COMBO_frmls!PZ122</f>
        <v>2459</v>
      </c>
      <c r="C46" s="38">
        <f>[1]COMBO_frmls!QA122</f>
        <v>2554</v>
      </c>
      <c r="D46" s="40">
        <f>[1]COMBO_frmls!QB122</f>
        <v>3.863359089060594</v>
      </c>
      <c r="E46" s="38">
        <f>[1]COMBO_frmls!QC122</f>
        <v>2374.1428571428573</v>
      </c>
      <c r="F46" s="38">
        <f>[1]COMBO_frmls!QD122</f>
        <v>2371.2857142857142</v>
      </c>
      <c r="G46" s="40">
        <f>[1]COMBO_frmls!QE122</f>
        <v>-0.12034418436730138</v>
      </c>
    </row>
    <row r="47" spans="1:7" ht="27.6" customHeight="1" x14ac:dyDescent="0.3">
      <c r="A47" s="73" t="s">
        <v>107</v>
      </c>
      <c r="B47" s="38">
        <f>[1]COMBO_frmls!PZ124</f>
        <v>3668278.3992574289</v>
      </c>
      <c r="C47" s="38">
        <f>[1]COMBO_frmls!QA124</f>
        <v>3226835.2766657239</v>
      </c>
      <c r="D47" s="40">
        <f>[1]COMBO_frmls!QB124</f>
        <v>-12.034068152544435</v>
      </c>
      <c r="E47" s="38">
        <f>[1]COMBO_frmls!QC124</f>
        <v>24071292.309085444</v>
      </c>
      <c r="F47" s="38">
        <f>[1]COMBO_frmls!QD124</f>
        <v>23783279.162264861</v>
      </c>
      <c r="G47" s="40">
        <f>[1]COMBO_frmls!QE124</f>
        <v>-1.1965005581020471</v>
      </c>
    </row>
    <row r="48" spans="1:7" x14ac:dyDescent="0.3">
      <c r="A48" s="72" t="s">
        <v>108</v>
      </c>
      <c r="B48" s="38">
        <f>[1]COMBO_frmls!PZ125</f>
        <v>2868677.4803614165</v>
      </c>
      <c r="C48" s="38">
        <f>[1]COMBO_frmls!QA125</f>
        <v>2457083.7408069931</v>
      </c>
      <c r="D48" s="40">
        <f>[1]COMBO_frmls!QB125</f>
        <v>-14.347856891272695</v>
      </c>
      <c r="E48" s="38">
        <f>[1]COMBO_frmls!QC125</f>
        <v>18168068.464051075</v>
      </c>
      <c r="F48" s="38">
        <f>[1]COMBO_frmls!QD125</f>
        <v>17992146.294434585</v>
      </c>
      <c r="G48" s="40">
        <f>[1]COMBO_frmls!QE125</f>
        <v>-0.96830419790956623</v>
      </c>
    </row>
    <row r="49" spans="1:7" x14ac:dyDescent="0.3">
      <c r="A49" s="72" t="s">
        <v>109</v>
      </c>
      <c r="B49" s="38">
        <f>[1]COMBO_frmls!PZ126</f>
        <v>799600.91889601247</v>
      </c>
      <c r="C49" s="38">
        <f>[1]COMBO_frmls!QA126</f>
        <v>769751.53585873055</v>
      </c>
      <c r="D49" s="40">
        <f>[1]COMBO_frmls!QB126</f>
        <v>-3.7330351093760825</v>
      </c>
      <c r="E49" s="38">
        <f>[1]COMBO_frmls!QC126</f>
        <v>5903223.8450343683</v>
      </c>
      <c r="F49" s="38">
        <f>[1]COMBO_frmls!QD126</f>
        <v>5791132.8678302774</v>
      </c>
      <c r="G49" s="40">
        <f>[1]COMBO_frmls!QE126</f>
        <v>-1.8988095343594129</v>
      </c>
    </row>
    <row r="50" spans="1:7" x14ac:dyDescent="0.3">
      <c r="A50" s="69" t="s">
        <v>110</v>
      </c>
      <c r="B50" s="38">
        <f>[1]COMBO_frmls!PZ127</f>
        <v>518561.87397064012</v>
      </c>
      <c r="C50" s="38">
        <f>[1]COMBO_frmls!QA127</f>
        <v>499197.11408603779</v>
      </c>
      <c r="D50" s="40">
        <f>[1]COMBO_frmls!QB127</f>
        <v>-3.7343200217026995</v>
      </c>
      <c r="E50" s="38">
        <f>[1]COMBO_frmls!QC127</f>
        <v>3399476.8011008343</v>
      </c>
      <c r="F50" s="38">
        <f>[1]COMBO_frmls!QD127</f>
        <v>3387130.5388186164</v>
      </c>
      <c r="G50" s="40">
        <f>[1]COMBO_frmls!QE127</f>
        <v>-0.36318124830914655</v>
      </c>
    </row>
    <row r="51" spans="1:7" x14ac:dyDescent="0.3">
      <c r="A51" s="72" t="s">
        <v>111</v>
      </c>
      <c r="B51" s="38">
        <f>[1]COMBO_frmls!PZ128</f>
        <v>402020.02840086591</v>
      </c>
      <c r="C51" s="38">
        <f>[1]COMBO_frmls!QA128</f>
        <v>387170.68844594382</v>
      </c>
      <c r="D51" s="40">
        <f>[1]COMBO_frmls!QB128</f>
        <v>-3.6936816342183287</v>
      </c>
      <c r="E51" s="38">
        <f>[1]COMBO_frmls!QC128</f>
        <v>2582435.3834698764</v>
      </c>
      <c r="F51" s="38">
        <f>[1]COMBO_frmls!QD128</f>
        <v>2550569.921136904</v>
      </c>
      <c r="G51" s="40">
        <f>[1]COMBO_frmls!QE128</f>
        <v>-1.233930674004182</v>
      </c>
    </row>
    <row r="52" spans="1:7" ht="12.75" customHeight="1" x14ac:dyDescent="0.3">
      <c r="A52" s="72" t="s">
        <v>112</v>
      </c>
      <c r="B52" s="38">
        <f>[1]COMBO_frmls!PZ129</f>
        <v>116541.84556977419</v>
      </c>
      <c r="C52" s="38">
        <f>[1]COMBO_frmls!QA129</f>
        <v>112026.42564011912</v>
      </c>
      <c r="D52" s="40">
        <f>[1]COMBO_frmls!QB129</f>
        <v>-3.8745052539533198</v>
      </c>
      <c r="E52" s="38">
        <f>[1]COMBO_frmls!QC129</f>
        <v>817041.41763095709</v>
      </c>
      <c r="F52" s="38">
        <f>[1]COMBO_frmls!QD129</f>
        <v>836560.61768173322</v>
      </c>
      <c r="G52" s="40">
        <f>[1]COMBO_frmls!QE129</f>
        <v>2.3890098628503798</v>
      </c>
    </row>
    <row r="53" spans="1:7" ht="14.4" customHeight="1" x14ac:dyDescent="0.3">
      <c r="A53" s="77" t="s">
        <v>113</v>
      </c>
      <c r="B53" s="78">
        <f>[1]COMBO_frmls!PZ130</f>
        <v>860853.58604540792</v>
      </c>
      <c r="C53" s="78">
        <f>[1]COMBO_frmls!QA130</f>
        <v>885345.92686517304</v>
      </c>
      <c r="D53" s="79">
        <f>[1]COMBO_frmls!QB130</f>
        <v>2.8451227034179079</v>
      </c>
      <c r="E53" s="78">
        <f>[1]COMBO_frmls!QC130</f>
        <v>5699462.5198746184</v>
      </c>
      <c r="F53" s="78">
        <f>[1]COMBO_frmls!QD130</f>
        <v>6035401.3548581284</v>
      </c>
      <c r="G53" s="79">
        <f>[1]COMBO_frmls!QE130</f>
        <v>5.8942195656530121</v>
      </c>
    </row>
    <row r="54" spans="1:7" ht="33" customHeight="1" x14ac:dyDescent="0.3">
      <c r="A54" s="49" t="str">
        <f>'MEI 2026-07 ADA2 State'!A55</f>
        <v>[a]  Labor force and job averages are based on monthly rounded data. NSA Not Seasonally Adjusted.</v>
      </c>
      <c r="B54" s="51"/>
      <c r="C54" s="51"/>
      <c r="D54" s="102"/>
      <c r="E54" s="51"/>
      <c r="F54" s="51"/>
      <c r="G54" s="102"/>
    </row>
    <row r="55" spans="1:7" ht="13.95" customHeight="1" x14ac:dyDescent="0.3">
      <c r="A55" s="49" t="str">
        <f>'MEI 2026-07 ADA2 State'!A56</f>
        <v>See Hawaii DBEDT &lt;http://dbedt.hawaii.gov/economic/unemployment-statistics/&gt; and &lt;http://dbedt.hawaii.gov/economic/job-count-by-industry/&gt; .</v>
      </c>
      <c r="B55" s="50"/>
      <c r="C55" s="51"/>
      <c r="D55" s="51"/>
      <c r="E55" s="51"/>
      <c r="F55" s="51"/>
      <c r="G55" s="51"/>
    </row>
    <row r="56" spans="1:7" ht="13.95" customHeight="1" x14ac:dyDescent="0.3">
      <c r="A56" s="49" t="str">
        <f>'MEI 2026-07 ADA2 State'!A57</f>
        <v>[b]  Change represents absolute change in rates rather than percentage change in rates.</v>
      </c>
      <c r="B56" s="83"/>
      <c r="C56" s="55"/>
      <c r="D56" s="55"/>
      <c r="E56" s="55"/>
      <c r="F56" s="55"/>
      <c r="G56" s="55"/>
    </row>
    <row r="57" spans="1:7" ht="13.95" customHeight="1" x14ac:dyDescent="0.3">
      <c r="A57" s="49" t="str">
        <f>'MEI 2026-07 ADA2 State'!A58</f>
        <v>[c]  0.5% added to the general excise tax to pay for O‘ahu‘s mass transit system and took effect January 1, 2007.</v>
      </c>
      <c r="B57" s="50"/>
      <c r="C57" s="51"/>
      <c r="D57" s="51"/>
      <c r="E57" s="51"/>
      <c r="F57" s="51"/>
      <c r="G57" s="51"/>
    </row>
    <row r="58" spans="1:7" ht="13.95" customHeight="1" x14ac:dyDescent="0.3">
      <c r="A58" s="49" t="str">
        <f>'MEI 2026-07 ADA2 State'!A59</f>
        <v>Includes taxpayers who have business activities on Oahu but whose businesses are located outside Oahu.</v>
      </c>
      <c r="B58" s="50"/>
      <c r="C58" s="51"/>
      <c r="D58" s="51"/>
      <c r="E58" s="51"/>
      <c r="F58" s="51"/>
      <c r="G58" s="51"/>
    </row>
    <row r="59" spans="1:7" ht="13.95" customHeight="1" x14ac:dyDescent="0.3">
      <c r="A59" s="49" t="str">
        <f>'MEI 2026-07 ADA2 State'!A60</f>
        <v>[d]  Due transition to MAPPS, Maui County did not issue permits April 1 to April 17, 2022.</v>
      </c>
      <c r="B59" s="82"/>
      <c r="C59" s="51"/>
      <c r="D59" s="51"/>
      <c r="E59" s="51"/>
      <c r="F59" s="51"/>
      <c r="G59" s="51"/>
    </row>
    <row r="60" spans="1:7" ht="13.95" customHeight="1" x14ac:dyDescent="0.3">
      <c r="A60" s="49" t="str">
        <f>'MEI 2026-07 ADA2 State'!A61</f>
        <v xml:space="preserve">[e]  Total includes only residential for Kauai.  </v>
      </c>
      <c r="B60" s="82"/>
      <c r="C60" s="51"/>
      <c r="D60" s="51"/>
      <c r="E60" s="51"/>
      <c r="F60" s="51"/>
      <c r="G60" s="51"/>
    </row>
    <row r="61" spans="1:7" ht="13.95" customHeight="1" x14ac:dyDescent="0.3">
      <c r="A61" s="49" t="str">
        <f>'MEI 2026-07 ADA2 State'!A62</f>
        <v>[f]  Kauai data unavailable.</v>
      </c>
      <c r="B61" s="82"/>
      <c r="C61" s="51"/>
      <c r="D61" s="51"/>
      <c r="E61" s="51"/>
      <c r="F61" s="51"/>
      <c r="G61" s="51"/>
    </row>
    <row r="62" spans="1:7" ht="13.95" customHeight="1" x14ac:dyDescent="0.3">
      <c r="A62" s="49" t="str">
        <f>'MEI 2026-07 ADA2 State'!A63</f>
        <v>[g]  Inventory available only for Honolulu and Maui County.</v>
      </c>
      <c r="B62" s="82"/>
      <c r="C62" s="51"/>
      <c r="D62" s="51"/>
      <c r="E62" s="51"/>
      <c r="F62" s="51"/>
      <c r="G62" s="51"/>
    </row>
    <row r="63" spans="1:7" ht="13.95" customHeight="1" x14ac:dyDescent="0.3">
      <c r="A63" s="49" t="str">
        <f>'MEI 2026-07 ADA2 State'!A64</f>
        <v>Source: Hawaii Department of Business, Economic Development and Tourism; Hawaii Department of Taxation; county building departments;</v>
      </c>
      <c r="B63" s="50"/>
      <c r="C63" s="51"/>
      <c r="D63" s="51"/>
      <c r="E63" s="52"/>
      <c r="F63" s="50"/>
      <c r="G63" s="51"/>
    </row>
    <row r="64" spans="1:7" ht="13.95" customHeight="1" x14ac:dyDescent="0.3">
      <c r="A64" s="49" t="str">
        <f>'MEI 2026-07 ADA2 State'!A65</f>
        <v>Honolulu Board of REALTORS, Hawaii Information Service, Hawaii Realtors, Kauai Board of Realtors, Realtors Association of Maui, Inc., Title Guaranty of</v>
      </c>
      <c r="B64" s="97"/>
      <c r="C64" s="51"/>
      <c r="D64" s="51"/>
      <c r="E64" s="52"/>
      <c r="F64" s="50"/>
      <c r="G64" s="51"/>
    </row>
    <row r="65" spans="1:1" ht="13.95" customHeight="1" x14ac:dyDescent="0.3">
      <c r="A65" s="49" t="str">
        <f>'MEI 2026-07 ADA2 State'!A66</f>
        <v>Hawaii. Final tables compiled by Statistics &amp; Data Support Branch, READ, DBEDT</v>
      </c>
    </row>
    <row r="66" spans="1:1" ht="13.95" customHeight="1" x14ac:dyDescent="0.3"/>
    <row r="67" spans="1:1" ht="13.95" customHeight="1" x14ac:dyDescent="0.3"/>
    <row r="68" spans="1:1" ht="13.95" customHeight="1" x14ac:dyDescent="0.3"/>
    <row r="69" spans="1:1" ht="13.95" customHeight="1" x14ac:dyDescent="0.3"/>
  </sheetData>
  <printOptions horizontalCentered="1"/>
  <pageMargins left="0.7" right="0.7" top="0.75" bottom="0.75" header="0.3" footer="0.3"/>
  <pageSetup scale="64" orientation="portrait" r:id="rId1"/>
  <headerFooter alignWithMargins="0">
    <oddFooter>&amp;LDBEDT Monthly Economic Indicators&amp;Rhttp://dbedt.hawaii.gov/economic/mei/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K65"/>
  <sheetViews>
    <sheetView zoomScale="85" zoomScaleNormal="85" workbookViewId="0">
      <selection activeCell="I1" sqref="I1"/>
    </sheetView>
  </sheetViews>
  <sheetFormatPr defaultColWidth="9.109375" defaultRowHeight="15.6" x14ac:dyDescent="0.3"/>
  <cols>
    <col min="1" max="1" width="57.5546875" style="57" customWidth="1"/>
    <col min="2" max="3" width="12.33203125" style="58" customWidth="1"/>
    <col min="4" max="4" width="14" style="59" customWidth="1"/>
    <col min="5" max="5" width="14" style="27" customWidth="1"/>
    <col min="6" max="6" width="14" style="58" customWidth="1"/>
    <col min="7" max="7" width="14" style="60" customWidth="1"/>
    <col min="8" max="8" width="9.109375" style="27" customWidth="1"/>
    <col min="9" max="16384" width="9.109375" style="27"/>
  </cols>
  <sheetData>
    <row r="1" spans="1:11" ht="24.6" customHeight="1" x14ac:dyDescent="0.3">
      <c r="A1" s="17" t="s">
        <v>161</v>
      </c>
      <c r="B1" s="18"/>
      <c r="C1" s="61"/>
      <c r="D1" s="61"/>
      <c r="E1" s="19"/>
      <c r="F1" s="18"/>
      <c r="G1" s="63"/>
      <c r="J1" s="64"/>
      <c r="K1" s="64"/>
    </row>
    <row r="2" spans="1:11" ht="28.2" customHeight="1" x14ac:dyDescent="0.3">
      <c r="A2" s="22" t="s">
        <v>159</v>
      </c>
      <c r="B2" s="22"/>
      <c r="C2" s="62"/>
      <c r="D2" s="62"/>
      <c r="E2" s="23"/>
      <c r="F2" s="62"/>
      <c r="G2" s="62"/>
      <c r="J2" s="64"/>
      <c r="K2" s="64"/>
    </row>
    <row r="3" spans="1:11" s="68" customFormat="1" ht="60.6" customHeight="1" x14ac:dyDescent="0.3">
      <c r="A3" s="65" t="s">
        <v>124</v>
      </c>
      <c r="B3" s="31" t="s">
        <v>156</v>
      </c>
      <c r="C3" s="66" t="s">
        <v>154</v>
      </c>
      <c r="D3" s="32" t="s">
        <v>18</v>
      </c>
      <c r="E3" s="67" t="s">
        <v>157</v>
      </c>
      <c r="F3" s="67" t="s">
        <v>155</v>
      </c>
      <c r="G3" s="67" t="s">
        <v>19</v>
      </c>
    </row>
    <row r="4" spans="1:11" ht="16.95" customHeight="1" x14ac:dyDescent="0.3">
      <c r="A4" s="69" t="s">
        <v>133</v>
      </c>
      <c r="B4" s="70">
        <v>92300</v>
      </c>
      <c r="C4" s="70">
        <v>93100</v>
      </c>
      <c r="D4" s="71">
        <v>0.8667388949079089</v>
      </c>
      <c r="E4" s="70">
        <v>91950</v>
      </c>
      <c r="F4" s="70">
        <v>92350</v>
      </c>
      <c r="G4" s="71">
        <v>0.43501903208265358</v>
      </c>
    </row>
    <row r="5" spans="1:11" x14ac:dyDescent="0.3">
      <c r="A5" s="72" t="s">
        <v>134</v>
      </c>
      <c r="B5" s="38">
        <v>89800</v>
      </c>
      <c r="C5" s="38">
        <v>89900</v>
      </c>
      <c r="D5" s="40">
        <v>0.11135857461024498</v>
      </c>
      <c r="E5" s="38">
        <v>89450</v>
      </c>
      <c r="F5" s="38">
        <v>89550</v>
      </c>
      <c r="G5" s="40">
        <v>0.11179429849077697</v>
      </c>
    </row>
    <row r="6" spans="1:11" x14ac:dyDescent="0.3">
      <c r="A6" s="72" t="s">
        <v>135</v>
      </c>
      <c r="B6" s="38">
        <v>2500</v>
      </c>
      <c r="C6" s="38">
        <v>3250</v>
      </c>
      <c r="D6" s="40">
        <v>30</v>
      </c>
      <c r="E6" s="38">
        <v>2500</v>
      </c>
      <c r="F6" s="38">
        <v>2800</v>
      </c>
      <c r="G6" s="40">
        <v>12</v>
      </c>
    </row>
    <row r="7" spans="1:11" ht="15.6" customHeight="1" x14ac:dyDescent="0.3">
      <c r="A7" s="69" t="s">
        <v>136</v>
      </c>
      <c r="B7" s="38">
        <v>2.7</v>
      </c>
      <c r="C7" s="38">
        <v>3.5</v>
      </c>
      <c r="D7" s="40">
        <v>0.79999999999999982</v>
      </c>
      <c r="E7" s="38">
        <v>2.7</v>
      </c>
      <c r="F7" s="38">
        <v>3</v>
      </c>
      <c r="G7" s="40">
        <v>0.29999999999999982</v>
      </c>
    </row>
    <row r="8" spans="1:11" ht="27.6" customHeight="1" x14ac:dyDescent="0.3">
      <c r="A8" s="73" t="s">
        <v>137</v>
      </c>
      <c r="B8" s="96" t="s">
        <v>73</v>
      </c>
      <c r="C8" s="96" t="s">
        <v>73</v>
      </c>
      <c r="D8" s="74" t="s">
        <v>73</v>
      </c>
      <c r="E8" s="96" t="s">
        <v>73</v>
      </c>
      <c r="F8" s="96" t="s">
        <v>73</v>
      </c>
      <c r="G8" s="40" t="s">
        <v>73</v>
      </c>
    </row>
    <row r="9" spans="1:11" x14ac:dyDescent="0.3">
      <c r="A9" s="72" t="s">
        <v>74</v>
      </c>
      <c r="B9" s="38">
        <v>72500</v>
      </c>
      <c r="C9" s="38">
        <v>72800</v>
      </c>
      <c r="D9" s="40">
        <v>0.41379310344827586</v>
      </c>
      <c r="E9" s="38">
        <v>72900</v>
      </c>
      <c r="F9" s="38">
        <v>73100</v>
      </c>
      <c r="G9" s="40">
        <v>0.2743484224965706</v>
      </c>
    </row>
    <row r="10" spans="1:11" x14ac:dyDescent="0.3">
      <c r="A10" s="75" t="s">
        <v>75</v>
      </c>
      <c r="B10" s="38">
        <v>4100</v>
      </c>
      <c r="C10" s="38">
        <v>4200</v>
      </c>
      <c r="D10" s="40">
        <v>2.4390243902439024</v>
      </c>
      <c r="E10" s="38">
        <v>4100</v>
      </c>
      <c r="F10" s="38">
        <v>4200</v>
      </c>
      <c r="G10" s="40">
        <v>2.4390243902439024</v>
      </c>
    </row>
    <row r="11" spans="1:11" x14ac:dyDescent="0.3">
      <c r="A11" s="75" t="s">
        <v>76</v>
      </c>
      <c r="B11" s="38">
        <v>1600</v>
      </c>
      <c r="C11" s="38">
        <v>1600</v>
      </c>
      <c r="D11" s="40">
        <v>0</v>
      </c>
      <c r="E11" s="38">
        <v>1700</v>
      </c>
      <c r="F11" s="38">
        <v>1600</v>
      </c>
      <c r="G11" s="40">
        <v>-5.8823529411764701</v>
      </c>
    </row>
    <row r="12" spans="1:11" x14ac:dyDescent="0.3">
      <c r="A12" s="75" t="s">
        <v>30</v>
      </c>
      <c r="B12" s="38">
        <v>1800</v>
      </c>
      <c r="C12" s="38">
        <v>1800</v>
      </c>
      <c r="D12" s="40">
        <v>0</v>
      </c>
      <c r="E12" s="38">
        <v>1800</v>
      </c>
      <c r="F12" s="38">
        <v>1800</v>
      </c>
      <c r="G12" s="40">
        <v>0</v>
      </c>
    </row>
    <row r="13" spans="1:11" x14ac:dyDescent="0.3">
      <c r="A13" s="75" t="s">
        <v>31</v>
      </c>
      <c r="B13" s="38">
        <v>10200</v>
      </c>
      <c r="C13" s="38">
        <v>10100</v>
      </c>
      <c r="D13" s="40">
        <v>-0.98039215686274506</v>
      </c>
      <c r="E13" s="38">
        <v>10100</v>
      </c>
      <c r="F13" s="38">
        <v>10200</v>
      </c>
      <c r="G13" s="40">
        <v>0.99009900990099009</v>
      </c>
    </row>
    <row r="14" spans="1:11" x14ac:dyDescent="0.3">
      <c r="A14" s="75" t="s">
        <v>77</v>
      </c>
      <c r="B14" s="38">
        <v>3300</v>
      </c>
      <c r="C14" s="38">
        <v>3200</v>
      </c>
      <c r="D14" s="40">
        <v>-3.0303030303030303</v>
      </c>
      <c r="E14" s="38">
        <v>3300</v>
      </c>
      <c r="F14" s="38">
        <v>3200</v>
      </c>
      <c r="G14" s="40">
        <v>-3.0303030303030303</v>
      </c>
    </row>
    <row r="15" spans="1:11" x14ac:dyDescent="0.3">
      <c r="A15" s="75" t="s">
        <v>78</v>
      </c>
      <c r="B15" s="38">
        <v>600</v>
      </c>
      <c r="C15" s="38">
        <v>600</v>
      </c>
      <c r="D15" s="40">
        <v>0</v>
      </c>
      <c r="E15" s="38">
        <v>600</v>
      </c>
      <c r="F15" s="38">
        <v>600</v>
      </c>
      <c r="G15" s="40">
        <v>0</v>
      </c>
    </row>
    <row r="16" spans="1:11" x14ac:dyDescent="0.3">
      <c r="A16" s="75" t="s">
        <v>79</v>
      </c>
      <c r="B16" s="38">
        <v>2600</v>
      </c>
      <c r="C16" s="38">
        <v>2600</v>
      </c>
      <c r="D16" s="40">
        <v>0</v>
      </c>
      <c r="E16" s="38">
        <v>2600</v>
      </c>
      <c r="F16" s="38">
        <v>2600</v>
      </c>
      <c r="G16" s="40">
        <v>0</v>
      </c>
    </row>
    <row r="17" spans="1:7" x14ac:dyDescent="0.3">
      <c r="A17" s="75" t="s">
        <v>80</v>
      </c>
      <c r="B17" s="38">
        <v>6200</v>
      </c>
      <c r="C17" s="38">
        <v>6100</v>
      </c>
      <c r="D17" s="40">
        <v>-1.6129032258064515</v>
      </c>
      <c r="E17" s="38">
        <v>6200</v>
      </c>
      <c r="F17" s="38">
        <v>6100</v>
      </c>
      <c r="G17" s="40">
        <v>-1.6129032258064515</v>
      </c>
    </row>
    <row r="18" spans="1:7" x14ac:dyDescent="0.3">
      <c r="A18" s="75" t="s">
        <v>42</v>
      </c>
      <c r="B18" s="38">
        <v>1400</v>
      </c>
      <c r="C18" s="38">
        <v>1300</v>
      </c>
      <c r="D18" s="40">
        <v>-7.1428571428571423</v>
      </c>
      <c r="E18" s="38">
        <v>1400</v>
      </c>
      <c r="F18" s="38">
        <v>1400</v>
      </c>
      <c r="G18" s="40">
        <v>0</v>
      </c>
    </row>
    <row r="19" spans="1:7" x14ac:dyDescent="0.3">
      <c r="A19" s="75" t="s">
        <v>43</v>
      </c>
      <c r="B19" s="38">
        <v>8200</v>
      </c>
      <c r="C19" s="38">
        <v>8300</v>
      </c>
      <c r="D19" s="40">
        <v>1.2195121951219512</v>
      </c>
      <c r="E19" s="38">
        <v>8100</v>
      </c>
      <c r="F19" s="38">
        <v>8400</v>
      </c>
      <c r="G19" s="40">
        <v>3.7037037037037033</v>
      </c>
    </row>
    <row r="20" spans="1:7" x14ac:dyDescent="0.3">
      <c r="A20" s="75" t="s">
        <v>45</v>
      </c>
      <c r="B20" s="38">
        <v>1700</v>
      </c>
      <c r="C20" s="38">
        <v>1900</v>
      </c>
      <c r="D20" s="40">
        <v>11.76470588235294</v>
      </c>
      <c r="E20" s="38">
        <v>1700</v>
      </c>
      <c r="F20" s="38">
        <v>1700</v>
      </c>
      <c r="G20" s="40">
        <v>0</v>
      </c>
    </row>
    <row r="21" spans="1:7" x14ac:dyDescent="0.3">
      <c r="A21" s="76" t="s">
        <v>81</v>
      </c>
      <c r="B21" s="38">
        <v>6600</v>
      </c>
      <c r="C21" s="38">
        <v>6600</v>
      </c>
      <c r="D21" s="40">
        <v>0</v>
      </c>
      <c r="E21" s="38">
        <v>6500</v>
      </c>
      <c r="F21" s="38">
        <v>6500</v>
      </c>
      <c r="G21" s="40">
        <v>0</v>
      </c>
    </row>
    <row r="22" spans="1:7" x14ac:dyDescent="0.3">
      <c r="A22" s="76" t="s">
        <v>82</v>
      </c>
      <c r="B22" s="38">
        <v>7000</v>
      </c>
      <c r="C22" s="38">
        <v>7000</v>
      </c>
      <c r="D22" s="40">
        <v>0</v>
      </c>
      <c r="E22" s="38">
        <v>6900</v>
      </c>
      <c r="F22" s="38">
        <v>6900</v>
      </c>
      <c r="G22" s="40">
        <v>0</v>
      </c>
    </row>
    <row r="23" spans="1:7" x14ac:dyDescent="0.3">
      <c r="A23" s="75" t="s">
        <v>83</v>
      </c>
      <c r="B23" s="38">
        <v>2500</v>
      </c>
      <c r="C23" s="38">
        <v>2500</v>
      </c>
      <c r="D23" s="40">
        <v>0</v>
      </c>
      <c r="E23" s="38">
        <v>2500</v>
      </c>
      <c r="F23" s="38">
        <v>2500</v>
      </c>
      <c r="G23" s="40">
        <v>0</v>
      </c>
    </row>
    <row r="24" spans="1:7" x14ac:dyDescent="0.3">
      <c r="A24" s="75" t="s">
        <v>84</v>
      </c>
      <c r="B24" s="38">
        <v>14900</v>
      </c>
      <c r="C24" s="38">
        <v>15000</v>
      </c>
      <c r="D24" s="40">
        <v>0.67114093959731547</v>
      </c>
      <c r="E24" s="38">
        <v>15500</v>
      </c>
      <c r="F24" s="38">
        <v>15600</v>
      </c>
      <c r="G24" s="40">
        <v>0.64516129032258063</v>
      </c>
    </row>
    <row r="25" spans="1:7" x14ac:dyDescent="0.3">
      <c r="A25" s="76" t="s">
        <v>85</v>
      </c>
      <c r="B25" s="38">
        <v>1400</v>
      </c>
      <c r="C25" s="38">
        <v>1200</v>
      </c>
      <c r="D25" s="40">
        <v>-14.285714285714285</v>
      </c>
      <c r="E25" s="38">
        <v>1400</v>
      </c>
      <c r="F25" s="38">
        <v>1200</v>
      </c>
      <c r="G25" s="40">
        <v>-14.285714285714285</v>
      </c>
    </row>
    <row r="26" spans="1:7" x14ac:dyDescent="0.3">
      <c r="A26" s="76" t="s">
        <v>86</v>
      </c>
      <c r="B26" s="38">
        <v>10700</v>
      </c>
      <c r="C26" s="38">
        <v>10900</v>
      </c>
      <c r="D26" s="40">
        <v>1.8691588785046727</v>
      </c>
      <c r="E26" s="38">
        <v>11300</v>
      </c>
      <c r="F26" s="38">
        <v>11400</v>
      </c>
      <c r="G26" s="40">
        <v>0.88495575221238942</v>
      </c>
    </row>
    <row r="27" spans="1:7" x14ac:dyDescent="0.3">
      <c r="A27" s="76" t="s">
        <v>87</v>
      </c>
      <c r="B27" s="38">
        <v>2900</v>
      </c>
      <c r="C27" s="38">
        <v>2900</v>
      </c>
      <c r="D27" s="40">
        <v>0</v>
      </c>
      <c r="E27" s="38">
        <v>2800</v>
      </c>
      <c r="F27" s="38">
        <v>2900</v>
      </c>
      <c r="G27" s="40">
        <v>3.5714285714285712</v>
      </c>
    </row>
    <row r="28" spans="1:7" ht="12.6" customHeight="1" x14ac:dyDescent="0.3">
      <c r="A28" s="72" t="s">
        <v>138</v>
      </c>
      <c r="B28" s="96" t="s">
        <v>73</v>
      </c>
      <c r="C28" s="96" t="s">
        <v>73</v>
      </c>
      <c r="D28" s="74" t="s">
        <v>73</v>
      </c>
      <c r="E28" s="96" t="s">
        <v>73</v>
      </c>
      <c r="F28" s="96" t="s">
        <v>73</v>
      </c>
      <c r="G28" s="40" t="s">
        <v>73</v>
      </c>
    </row>
    <row r="29" spans="1:7" ht="27.6" customHeight="1" x14ac:dyDescent="0.3">
      <c r="A29" s="72" t="s">
        <v>125</v>
      </c>
      <c r="B29" s="96" t="s">
        <v>73</v>
      </c>
      <c r="C29" s="96" t="s">
        <v>73</v>
      </c>
      <c r="D29" s="74" t="s">
        <v>73</v>
      </c>
      <c r="E29" s="96" t="s">
        <v>73</v>
      </c>
      <c r="F29" s="96" t="s">
        <v>73</v>
      </c>
      <c r="G29" s="40" t="s">
        <v>73</v>
      </c>
    </row>
    <row r="30" spans="1:7" x14ac:dyDescent="0.3">
      <c r="A30" s="72" t="s">
        <v>126</v>
      </c>
      <c r="B30" s="96" t="s">
        <v>73</v>
      </c>
      <c r="C30" s="96" t="s">
        <v>73</v>
      </c>
      <c r="D30" s="74" t="s">
        <v>73</v>
      </c>
      <c r="E30" s="96" t="s">
        <v>73</v>
      </c>
      <c r="F30" s="96" t="s">
        <v>73</v>
      </c>
      <c r="G30" s="40" t="s">
        <v>73</v>
      </c>
    </row>
    <row r="31" spans="1:7" x14ac:dyDescent="0.3">
      <c r="A31" s="75" t="s">
        <v>127</v>
      </c>
      <c r="B31" s="96" t="s">
        <v>73</v>
      </c>
      <c r="C31" s="96" t="s">
        <v>73</v>
      </c>
      <c r="D31" s="74" t="s">
        <v>73</v>
      </c>
      <c r="E31" s="96" t="s">
        <v>73</v>
      </c>
      <c r="F31" s="96" t="s">
        <v>73</v>
      </c>
      <c r="G31" s="40" t="s">
        <v>73</v>
      </c>
    </row>
    <row r="32" spans="1:7" x14ac:dyDescent="0.3">
      <c r="A32" s="75" t="s">
        <v>128</v>
      </c>
      <c r="B32" s="96" t="s">
        <v>73</v>
      </c>
      <c r="C32" s="96" t="s">
        <v>73</v>
      </c>
      <c r="D32" s="74" t="s">
        <v>73</v>
      </c>
      <c r="E32" s="96" t="s">
        <v>73</v>
      </c>
      <c r="F32" s="96" t="s">
        <v>73</v>
      </c>
      <c r="G32" s="40" t="s">
        <v>73</v>
      </c>
    </row>
    <row r="33" spans="1:7" x14ac:dyDescent="0.3">
      <c r="A33" s="75" t="s">
        <v>129</v>
      </c>
      <c r="B33" s="96" t="s">
        <v>73</v>
      </c>
      <c r="C33" s="96" t="s">
        <v>73</v>
      </c>
      <c r="D33" s="74" t="s">
        <v>73</v>
      </c>
      <c r="E33" s="96" t="s">
        <v>73</v>
      </c>
      <c r="F33" s="96" t="s">
        <v>73</v>
      </c>
      <c r="G33" s="40" t="s">
        <v>73</v>
      </c>
    </row>
    <row r="34" spans="1:7" x14ac:dyDescent="0.3">
      <c r="A34" s="75" t="s">
        <v>130</v>
      </c>
      <c r="B34" s="96" t="s">
        <v>73</v>
      </c>
      <c r="C34" s="96" t="s">
        <v>73</v>
      </c>
      <c r="D34" s="74" t="s">
        <v>73</v>
      </c>
      <c r="E34" s="96" t="s">
        <v>73</v>
      </c>
      <c r="F34" s="96" t="s">
        <v>73</v>
      </c>
      <c r="G34" s="40" t="s">
        <v>73</v>
      </c>
    </row>
    <row r="35" spans="1:7" x14ac:dyDescent="0.3">
      <c r="A35" s="72" t="s">
        <v>131</v>
      </c>
      <c r="B35" s="96" t="s">
        <v>73</v>
      </c>
      <c r="C35" s="96" t="s">
        <v>73</v>
      </c>
      <c r="D35" s="74" t="s">
        <v>73</v>
      </c>
      <c r="E35" s="96" t="s">
        <v>73</v>
      </c>
      <c r="F35" s="96" t="s">
        <v>73</v>
      </c>
      <c r="G35" s="40" t="s">
        <v>73</v>
      </c>
    </row>
    <row r="36" spans="1:7" ht="15" customHeight="1" x14ac:dyDescent="0.3">
      <c r="A36" s="72" t="s">
        <v>139</v>
      </c>
      <c r="B36" s="107">
        <v>33384.8295</v>
      </c>
      <c r="C36" s="107">
        <v>7506.0219999999999</v>
      </c>
      <c r="D36" s="113">
        <v>-77.516668162106384</v>
      </c>
      <c r="E36" s="107">
        <v>46781.239000000001</v>
      </c>
      <c r="F36" s="107">
        <v>49297.821049999991</v>
      </c>
      <c r="G36" s="113">
        <v>5.3794685728609926</v>
      </c>
    </row>
    <row r="37" spans="1:7" ht="25.2" customHeight="1" x14ac:dyDescent="0.3">
      <c r="A37" s="69" t="s">
        <v>98</v>
      </c>
      <c r="B37" s="38">
        <v>88384.26751000002</v>
      </c>
      <c r="C37" s="38">
        <v>78518.948499999999</v>
      </c>
      <c r="D37" s="40">
        <v>-11.161849600534206</v>
      </c>
      <c r="E37" s="38">
        <v>603379.02264800004</v>
      </c>
      <c r="F37" s="38">
        <v>545006.74277999997</v>
      </c>
      <c r="G37" s="40">
        <v>-9.6742309024643305</v>
      </c>
    </row>
    <row r="38" spans="1:7" x14ac:dyDescent="0.3">
      <c r="A38" s="72" t="s">
        <v>99</v>
      </c>
      <c r="B38" s="38">
        <v>53866.411010000011</v>
      </c>
      <c r="C38" s="38">
        <v>50729.067159999999</v>
      </c>
      <c r="D38" s="40">
        <v>-5.8243045919981213</v>
      </c>
      <c r="E38" s="38">
        <v>402224.3689280001</v>
      </c>
      <c r="F38" s="38">
        <v>303611.54421000002</v>
      </c>
      <c r="G38" s="40">
        <v>-24.516869771172964</v>
      </c>
    </row>
    <row r="39" spans="1:7" x14ac:dyDescent="0.3">
      <c r="A39" s="72" t="s">
        <v>100</v>
      </c>
      <c r="B39" s="38">
        <v>8371.3490000000002</v>
      </c>
      <c r="C39" s="38">
        <v>4216.4639999999999</v>
      </c>
      <c r="D39" s="40">
        <v>-49.632203841937546</v>
      </c>
      <c r="E39" s="38">
        <v>41475.493000000002</v>
      </c>
      <c r="F39" s="38">
        <v>46201.743000000002</v>
      </c>
      <c r="G39" s="40">
        <v>11.395283474990881</v>
      </c>
    </row>
    <row r="40" spans="1:7" ht="13.95" customHeight="1" x14ac:dyDescent="0.3">
      <c r="A40" s="72" t="s">
        <v>101</v>
      </c>
      <c r="B40" s="38">
        <v>26146.5075</v>
      </c>
      <c r="C40" s="38">
        <v>23573.41734</v>
      </c>
      <c r="D40" s="40">
        <v>-9.8410472603272154</v>
      </c>
      <c r="E40" s="38">
        <v>159679.16072000001</v>
      </c>
      <c r="F40" s="38">
        <v>195193.45556999999</v>
      </c>
      <c r="G40" s="40">
        <v>22.24103301261388</v>
      </c>
    </row>
    <row r="41" spans="1:7" ht="27.6" customHeight="1" x14ac:dyDescent="0.3">
      <c r="A41" s="69" t="s">
        <v>102</v>
      </c>
      <c r="B41" s="38">
        <v>163</v>
      </c>
      <c r="C41" s="38">
        <v>183</v>
      </c>
      <c r="D41" s="40">
        <v>12.269938650306749</v>
      </c>
      <c r="E41" s="38">
        <v>1189</v>
      </c>
      <c r="F41" s="38">
        <v>1179</v>
      </c>
      <c r="G41" s="40">
        <v>-0.84104289318755254</v>
      </c>
    </row>
    <row r="42" spans="1:7" x14ac:dyDescent="0.3">
      <c r="A42" s="72" t="s">
        <v>103</v>
      </c>
      <c r="B42" s="38">
        <v>525000</v>
      </c>
      <c r="C42" s="38">
        <v>535000</v>
      </c>
      <c r="D42" s="40">
        <v>1.9047619047619049</v>
      </c>
      <c r="E42" s="38">
        <v>565000</v>
      </c>
      <c r="F42" s="38">
        <v>560000</v>
      </c>
      <c r="G42" s="40">
        <v>-0.88495575221238942</v>
      </c>
    </row>
    <row r="43" spans="1:7" x14ac:dyDescent="0.3">
      <c r="A43" s="72" t="s">
        <v>104</v>
      </c>
      <c r="B43" s="96" t="s">
        <v>73</v>
      </c>
      <c r="C43" s="96" t="s">
        <v>73</v>
      </c>
      <c r="D43" s="74" t="s">
        <v>73</v>
      </c>
      <c r="E43" s="96" t="s">
        <v>73</v>
      </c>
      <c r="F43" s="96" t="s">
        <v>73</v>
      </c>
      <c r="G43" s="40" t="s">
        <v>73</v>
      </c>
    </row>
    <row r="44" spans="1:7" x14ac:dyDescent="0.3">
      <c r="A44" s="69" t="s">
        <v>105</v>
      </c>
      <c r="B44" s="38">
        <v>43</v>
      </c>
      <c r="C44" s="38">
        <v>42</v>
      </c>
      <c r="D44" s="40">
        <v>-2.3255813953488373</v>
      </c>
      <c r="E44" s="38">
        <v>320</v>
      </c>
      <c r="F44" s="38">
        <v>315</v>
      </c>
      <c r="G44" s="40">
        <v>-1.5625</v>
      </c>
    </row>
    <row r="45" spans="1:7" x14ac:dyDescent="0.3">
      <c r="A45" s="72" t="s">
        <v>106</v>
      </c>
      <c r="B45" s="38">
        <v>620000</v>
      </c>
      <c r="C45" s="38">
        <v>838750</v>
      </c>
      <c r="D45" s="40">
        <v>35.282258064516128</v>
      </c>
      <c r="E45" s="38">
        <v>646000</v>
      </c>
      <c r="F45" s="38">
        <v>625000</v>
      </c>
      <c r="G45" s="40">
        <v>-3.2507739938080498</v>
      </c>
    </row>
    <row r="46" spans="1:7" ht="13.95" customHeight="1" x14ac:dyDescent="0.3">
      <c r="A46" s="72" t="s">
        <v>104</v>
      </c>
      <c r="B46" s="96" t="s">
        <v>73</v>
      </c>
      <c r="C46" s="96" t="s">
        <v>73</v>
      </c>
      <c r="D46" s="74" t="s">
        <v>73</v>
      </c>
      <c r="E46" s="96" t="s">
        <v>73</v>
      </c>
      <c r="F46" s="96" t="s">
        <v>73</v>
      </c>
      <c r="G46" s="40" t="s">
        <v>73</v>
      </c>
    </row>
    <row r="47" spans="1:7" ht="27.6" customHeight="1" x14ac:dyDescent="0.3">
      <c r="A47" s="73" t="s">
        <v>107</v>
      </c>
      <c r="B47" s="38">
        <v>1190319.8853390892</v>
      </c>
      <c r="C47" s="38">
        <v>1011121.8838940834</v>
      </c>
      <c r="D47" s="40">
        <v>-15.054608736033778</v>
      </c>
      <c r="E47" s="38">
        <v>8041152.4737553783</v>
      </c>
      <c r="F47" s="38">
        <v>6948321.2093738122</v>
      </c>
      <c r="G47" s="40">
        <v>-13.59048056790785</v>
      </c>
    </row>
    <row r="48" spans="1:7" x14ac:dyDescent="0.3">
      <c r="A48" s="72" t="s">
        <v>108</v>
      </c>
      <c r="B48" s="38">
        <v>1101933.8598354405</v>
      </c>
      <c r="C48" s="38">
        <v>953434.36632097873</v>
      </c>
      <c r="D48" s="40">
        <v>-13.476261954291727</v>
      </c>
      <c r="E48" s="38">
        <v>7359322.8658331782</v>
      </c>
      <c r="F48" s="38">
        <v>6415265.5316449851</v>
      </c>
      <c r="G48" s="40">
        <v>-12.828046158582454</v>
      </c>
    </row>
    <row r="49" spans="1:7" x14ac:dyDescent="0.3">
      <c r="A49" s="72" t="s">
        <v>109</v>
      </c>
      <c r="B49" s="38">
        <v>88386.025503648721</v>
      </c>
      <c r="C49" s="38">
        <v>57687.51757310472</v>
      </c>
      <c r="D49" s="40">
        <v>-34.732309497587622</v>
      </c>
      <c r="E49" s="38">
        <v>681829.60792220209</v>
      </c>
      <c r="F49" s="38">
        <v>533055.67772882862</v>
      </c>
      <c r="G49" s="40">
        <v>-21.819810765734424</v>
      </c>
    </row>
    <row r="50" spans="1:7" x14ac:dyDescent="0.3">
      <c r="A50" s="69" t="s">
        <v>110</v>
      </c>
      <c r="B50" s="38">
        <v>160835.71605001128</v>
      </c>
      <c r="C50" s="38">
        <v>161920.54817891592</v>
      </c>
      <c r="D50" s="40">
        <v>0.67449703060190858</v>
      </c>
      <c r="E50" s="38">
        <v>1045677.5029322689</v>
      </c>
      <c r="F50" s="38">
        <v>1070970.3184269548</v>
      </c>
      <c r="G50" s="40">
        <v>2.4187969449242495</v>
      </c>
    </row>
    <row r="51" spans="1:7" x14ac:dyDescent="0.3">
      <c r="A51" s="72" t="s">
        <v>111</v>
      </c>
      <c r="B51" s="38">
        <v>142670.89938482118</v>
      </c>
      <c r="C51" s="38">
        <v>147985.24040568026</v>
      </c>
      <c r="D51" s="40">
        <v>3.7248948760916516</v>
      </c>
      <c r="E51" s="38">
        <v>924112.21235110785</v>
      </c>
      <c r="F51" s="38">
        <v>958117.5970816249</v>
      </c>
      <c r="G51" s="40">
        <v>3.6797895619192422</v>
      </c>
    </row>
    <row r="52" spans="1:7" ht="13.5" customHeight="1" x14ac:dyDescent="0.3">
      <c r="A52" s="72" t="s">
        <v>112</v>
      </c>
      <c r="B52" s="38">
        <v>18164.816665190097</v>
      </c>
      <c r="C52" s="38">
        <v>13935.307773235814</v>
      </c>
      <c r="D52" s="40">
        <v>-23.284071454789004</v>
      </c>
      <c r="E52" s="38">
        <v>121565.2905811612</v>
      </c>
      <c r="F52" s="38">
        <v>112852.7213453296</v>
      </c>
      <c r="G52" s="40">
        <v>-7.166987545688289</v>
      </c>
    </row>
    <row r="53" spans="1:7" ht="18" customHeight="1" x14ac:dyDescent="0.3">
      <c r="A53" s="77" t="s">
        <v>113</v>
      </c>
      <c r="B53" s="78">
        <v>284413.93193733023</v>
      </c>
      <c r="C53" s="78">
        <v>276280.0031138233</v>
      </c>
      <c r="D53" s="79">
        <v>-2.8598911340599211</v>
      </c>
      <c r="E53" s="78">
        <v>1874720.6690334044</v>
      </c>
      <c r="F53" s="78">
        <v>1896457.5320974507</v>
      </c>
      <c r="G53" s="79">
        <v>1.1594720975287298</v>
      </c>
    </row>
    <row r="54" spans="1:7" ht="27.6" customHeight="1" x14ac:dyDescent="0.3">
      <c r="A54" s="111" t="s">
        <v>114</v>
      </c>
      <c r="B54" s="51"/>
      <c r="C54" s="51"/>
      <c r="D54" s="102"/>
      <c r="E54" s="51"/>
      <c r="F54" s="51"/>
      <c r="G54" s="102"/>
    </row>
    <row r="55" spans="1:7" ht="12.75" customHeight="1" x14ac:dyDescent="0.3">
      <c r="A55" s="111" t="s">
        <v>63</v>
      </c>
      <c r="B55" s="55"/>
      <c r="C55" s="55"/>
      <c r="D55" s="55"/>
      <c r="E55" s="55"/>
      <c r="F55" s="55"/>
      <c r="G55" s="55"/>
    </row>
    <row r="56" spans="1:7" ht="12.75" customHeight="1" x14ac:dyDescent="0.3">
      <c r="A56" s="111" t="s">
        <v>64</v>
      </c>
      <c r="B56" s="51"/>
      <c r="C56" s="51"/>
      <c r="D56" s="51"/>
      <c r="E56" s="51"/>
      <c r="F56" s="51"/>
      <c r="G56" s="51"/>
    </row>
    <row r="57" spans="1:7" ht="12.75" customHeight="1" x14ac:dyDescent="0.3">
      <c r="A57" s="111" t="s">
        <v>115</v>
      </c>
      <c r="B57" s="51"/>
      <c r="C57" s="51"/>
      <c r="D57" s="51"/>
      <c r="E57" s="51"/>
      <c r="F57" s="51"/>
      <c r="G57" s="51"/>
    </row>
    <row r="58" spans="1:7" ht="12.75" customHeight="1" x14ac:dyDescent="0.3">
      <c r="A58" s="111" t="s">
        <v>116</v>
      </c>
      <c r="B58" s="51"/>
      <c r="C58" s="51"/>
      <c r="D58" s="51"/>
      <c r="E58" s="51"/>
      <c r="F58" s="51"/>
      <c r="G58" s="51"/>
    </row>
    <row r="59" spans="1:7" ht="12.75" customHeight="1" x14ac:dyDescent="0.3">
      <c r="A59" s="111" t="s">
        <v>117</v>
      </c>
      <c r="B59" s="51"/>
      <c r="C59" s="51"/>
      <c r="D59" s="51"/>
      <c r="E59" s="51"/>
      <c r="F59" s="51"/>
      <c r="G59" s="51"/>
    </row>
    <row r="60" spans="1:7" ht="12.75" customHeight="1" x14ac:dyDescent="0.3">
      <c r="A60" s="111" t="s">
        <v>118</v>
      </c>
      <c r="B60" s="51"/>
      <c r="C60" s="51"/>
      <c r="D60" s="51"/>
      <c r="E60" s="51"/>
      <c r="F60" s="51"/>
      <c r="G60" s="51"/>
    </row>
    <row r="61" spans="1:7" ht="12.75" customHeight="1" x14ac:dyDescent="0.3">
      <c r="A61" s="111" t="s">
        <v>119</v>
      </c>
      <c r="B61" s="51"/>
      <c r="C61" s="51"/>
      <c r="D61" s="51"/>
      <c r="E61" s="51"/>
      <c r="F61" s="51"/>
      <c r="G61" s="98"/>
    </row>
    <row r="62" spans="1:7" ht="12.75" customHeight="1" x14ac:dyDescent="0.3">
      <c r="A62" s="111" t="s">
        <v>120</v>
      </c>
      <c r="B62" s="51"/>
      <c r="C62" s="51"/>
      <c r="D62" s="52"/>
      <c r="E62" s="50"/>
      <c r="F62" s="51"/>
      <c r="G62" s="53"/>
    </row>
    <row r="63" spans="1:7" x14ac:dyDescent="0.3">
      <c r="A63" s="111" t="s">
        <v>121</v>
      </c>
      <c r="B63" s="51"/>
      <c r="C63" s="51"/>
      <c r="D63" s="52"/>
      <c r="E63" s="50"/>
      <c r="F63" s="51"/>
      <c r="G63" s="53"/>
    </row>
    <row r="64" spans="1:7" x14ac:dyDescent="0.3">
      <c r="A64" s="111" t="s">
        <v>122</v>
      </c>
    </row>
    <row r="65" spans="1:1" x14ac:dyDescent="0.3">
      <c r="A65" s="111" t="s">
        <v>123</v>
      </c>
    </row>
  </sheetData>
  <printOptions horizontalCentered="1"/>
  <pageMargins left="0.7" right="0.7" top="0.75" bottom="0.75" header="0.3" footer="0.3"/>
  <pageSetup scale="65" orientation="portrait" r:id="rId1"/>
  <headerFooter alignWithMargins="0">
    <oddFooter>&amp;LDBEDT Monthly Economic Indicators&amp;Rhttp://dbedt.hawaii.gov/economic/mei/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65"/>
  <sheetViews>
    <sheetView zoomScale="85" zoomScaleNormal="85" workbookViewId="0"/>
  </sheetViews>
  <sheetFormatPr defaultColWidth="9.109375" defaultRowHeight="15.6" x14ac:dyDescent="0.3"/>
  <cols>
    <col min="1" max="1" width="54.109375" style="57" customWidth="1"/>
    <col min="2" max="3" width="12.33203125" style="58" customWidth="1"/>
    <col min="4" max="4" width="14" style="59" customWidth="1"/>
    <col min="5" max="5" width="14" style="27" customWidth="1"/>
    <col min="6" max="6" width="14" style="58" customWidth="1"/>
    <col min="7" max="7" width="14" style="60" customWidth="1"/>
    <col min="8" max="16384" width="9.109375" style="27"/>
  </cols>
  <sheetData>
    <row r="1" spans="1:11" ht="20.399999999999999" customHeight="1" x14ac:dyDescent="0.3">
      <c r="A1" s="17" t="s">
        <v>162</v>
      </c>
      <c r="B1" s="18"/>
      <c r="C1" s="61"/>
      <c r="D1" s="61"/>
      <c r="E1" s="19"/>
      <c r="F1" s="18"/>
      <c r="G1" s="63"/>
      <c r="J1" s="64"/>
      <c r="K1" s="64"/>
    </row>
    <row r="2" spans="1:11" ht="34.950000000000003" customHeight="1" x14ac:dyDescent="0.3">
      <c r="A2" s="22" t="s">
        <v>159</v>
      </c>
      <c r="B2" s="22"/>
      <c r="C2" s="62"/>
      <c r="D2" s="62"/>
      <c r="E2" s="23"/>
      <c r="F2" s="62"/>
      <c r="G2" s="62"/>
      <c r="J2" s="64"/>
      <c r="K2" s="64"/>
    </row>
    <row r="3" spans="1:11" s="68" customFormat="1" ht="60.6" customHeight="1" x14ac:dyDescent="0.3">
      <c r="A3" s="65" t="s">
        <v>124</v>
      </c>
      <c r="B3" s="31" t="s">
        <v>156</v>
      </c>
      <c r="C3" s="66" t="s">
        <v>154</v>
      </c>
      <c r="D3" s="32" t="s">
        <v>18</v>
      </c>
      <c r="E3" s="67" t="s">
        <v>157</v>
      </c>
      <c r="F3" s="67" t="s">
        <v>155</v>
      </c>
      <c r="G3" s="67" t="s">
        <v>19</v>
      </c>
    </row>
    <row r="4" spans="1:11" x14ac:dyDescent="0.3">
      <c r="A4" s="69" t="s">
        <v>133</v>
      </c>
      <c r="B4" s="70">
        <v>82600</v>
      </c>
      <c r="C4" s="70">
        <v>84000</v>
      </c>
      <c r="D4" s="71">
        <v>1.6949152542372881</v>
      </c>
      <c r="E4" s="70">
        <v>82000</v>
      </c>
      <c r="F4" s="70">
        <v>82700</v>
      </c>
      <c r="G4" s="71">
        <v>0.85365853658536595</v>
      </c>
    </row>
    <row r="5" spans="1:11" x14ac:dyDescent="0.3">
      <c r="A5" s="72" t="s">
        <v>134</v>
      </c>
      <c r="B5" s="38">
        <v>80600</v>
      </c>
      <c r="C5" s="38">
        <v>81600</v>
      </c>
      <c r="D5" s="40">
        <v>1.240694789081886</v>
      </c>
      <c r="E5" s="38">
        <v>79700</v>
      </c>
      <c r="F5" s="38">
        <v>80500</v>
      </c>
      <c r="G5" s="40">
        <v>1.0037641154328731</v>
      </c>
    </row>
    <row r="6" spans="1:11" x14ac:dyDescent="0.3">
      <c r="A6" s="72" t="s">
        <v>135</v>
      </c>
      <c r="B6" s="38">
        <v>2000</v>
      </c>
      <c r="C6" s="38">
        <v>2400</v>
      </c>
      <c r="D6" s="40">
        <v>20</v>
      </c>
      <c r="E6" s="38">
        <v>2250</v>
      </c>
      <c r="F6" s="38">
        <v>2200</v>
      </c>
      <c r="G6" s="40">
        <v>-2.2222222222222223</v>
      </c>
    </row>
    <row r="7" spans="1:11" ht="13.2" customHeight="1" x14ac:dyDescent="0.3">
      <c r="A7" s="69" t="s">
        <v>136</v>
      </c>
      <c r="B7" s="40">
        <v>2.4</v>
      </c>
      <c r="C7" s="40">
        <v>2.8</v>
      </c>
      <c r="D7" s="40">
        <v>0.39999999999999991</v>
      </c>
      <c r="E7" s="40">
        <v>2.8000000000000003</v>
      </c>
      <c r="F7" s="40">
        <v>2.6</v>
      </c>
      <c r="G7" s="40">
        <v>-0.20000000000000018</v>
      </c>
    </row>
    <row r="8" spans="1:11" ht="26.4" customHeight="1" x14ac:dyDescent="0.3">
      <c r="A8" s="73" t="s">
        <v>137</v>
      </c>
      <c r="B8" s="101" t="s">
        <v>73</v>
      </c>
      <c r="C8" s="101" t="s">
        <v>73</v>
      </c>
      <c r="D8" s="40" t="s">
        <v>73</v>
      </c>
      <c r="E8" s="101" t="s">
        <v>73</v>
      </c>
      <c r="F8" s="101" t="s">
        <v>73</v>
      </c>
      <c r="G8" s="40" t="s">
        <v>73</v>
      </c>
    </row>
    <row r="9" spans="1:11" ht="15.6" customHeight="1" x14ac:dyDescent="0.3">
      <c r="A9" s="72" t="s">
        <v>74</v>
      </c>
      <c r="B9" s="38">
        <v>74200</v>
      </c>
      <c r="C9" s="38">
        <v>75500</v>
      </c>
      <c r="D9" s="40">
        <v>1.7520215633423182</v>
      </c>
      <c r="E9" s="38">
        <v>74000</v>
      </c>
      <c r="F9" s="38">
        <v>75100</v>
      </c>
      <c r="G9" s="40">
        <v>1.4864864864864866</v>
      </c>
    </row>
    <row r="10" spans="1:11" x14ac:dyDescent="0.3">
      <c r="A10" s="75" t="s">
        <v>75</v>
      </c>
      <c r="B10" s="38">
        <v>4900</v>
      </c>
      <c r="C10" s="38">
        <v>5200</v>
      </c>
      <c r="D10" s="40">
        <v>6.1224489795918364</v>
      </c>
      <c r="E10" s="38">
        <v>4800</v>
      </c>
      <c r="F10" s="38">
        <v>5100</v>
      </c>
      <c r="G10" s="40">
        <v>6.25</v>
      </c>
    </row>
    <row r="11" spans="1:11" x14ac:dyDescent="0.3">
      <c r="A11" s="75" t="s">
        <v>76</v>
      </c>
      <c r="B11" s="38">
        <v>1000</v>
      </c>
      <c r="C11" s="38">
        <v>1000</v>
      </c>
      <c r="D11" s="40">
        <v>0</v>
      </c>
      <c r="E11" s="38">
        <v>1000</v>
      </c>
      <c r="F11" s="38">
        <v>1000</v>
      </c>
      <c r="G11" s="40">
        <v>0</v>
      </c>
    </row>
    <row r="12" spans="1:11" x14ac:dyDescent="0.3">
      <c r="A12" s="75" t="s">
        <v>30</v>
      </c>
      <c r="B12" s="38">
        <v>1400</v>
      </c>
      <c r="C12" s="38">
        <v>1400</v>
      </c>
      <c r="D12" s="40">
        <v>0</v>
      </c>
      <c r="E12" s="38">
        <v>1400</v>
      </c>
      <c r="F12" s="38">
        <v>1400</v>
      </c>
      <c r="G12" s="40">
        <v>0</v>
      </c>
    </row>
    <row r="13" spans="1:11" x14ac:dyDescent="0.3">
      <c r="A13" s="75" t="s">
        <v>31</v>
      </c>
      <c r="B13" s="38">
        <v>8500</v>
      </c>
      <c r="C13" s="38">
        <v>8500</v>
      </c>
      <c r="D13" s="40">
        <v>0</v>
      </c>
      <c r="E13" s="38">
        <v>8500</v>
      </c>
      <c r="F13" s="38">
        <v>8500</v>
      </c>
      <c r="G13" s="40">
        <v>0</v>
      </c>
    </row>
    <row r="14" spans="1:11" x14ac:dyDescent="0.3">
      <c r="A14" s="75" t="s">
        <v>77</v>
      </c>
      <c r="B14" s="38">
        <v>4000</v>
      </c>
      <c r="C14" s="38">
        <v>4000</v>
      </c>
      <c r="D14" s="40">
        <v>0</v>
      </c>
      <c r="E14" s="38">
        <v>4100</v>
      </c>
      <c r="F14" s="38">
        <v>4000</v>
      </c>
      <c r="G14" s="40">
        <v>-2.4390243902439024</v>
      </c>
    </row>
    <row r="15" spans="1:11" x14ac:dyDescent="0.3">
      <c r="A15" s="75" t="s">
        <v>78</v>
      </c>
      <c r="B15" s="38">
        <v>500</v>
      </c>
      <c r="C15" s="38">
        <v>500</v>
      </c>
      <c r="D15" s="40">
        <v>0</v>
      </c>
      <c r="E15" s="38">
        <v>500</v>
      </c>
      <c r="F15" s="38">
        <v>500</v>
      </c>
      <c r="G15" s="40">
        <v>0</v>
      </c>
    </row>
    <row r="16" spans="1:11" x14ac:dyDescent="0.3">
      <c r="A16" s="75" t="s">
        <v>79</v>
      </c>
      <c r="B16" s="38">
        <v>2700</v>
      </c>
      <c r="C16" s="38">
        <v>2600</v>
      </c>
      <c r="D16" s="40">
        <v>-3.7037037037037033</v>
      </c>
      <c r="E16" s="38">
        <v>2700</v>
      </c>
      <c r="F16" s="38">
        <v>2700</v>
      </c>
      <c r="G16" s="40">
        <v>0</v>
      </c>
    </row>
    <row r="17" spans="1:7" x14ac:dyDescent="0.3">
      <c r="A17" s="75" t="s">
        <v>80</v>
      </c>
      <c r="B17" s="38">
        <v>7100</v>
      </c>
      <c r="C17" s="38">
        <v>7000</v>
      </c>
      <c r="D17" s="40">
        <v>-1.4084507042253522</v>
      </c>
      <c r="E17" s="38">
        <v>7100</v>
      </c>
      <c r="F17" s="38">
        <v>7100</v>
      </c>
      <c r="G17" s="40">
        <v>0</v>
      </c>
    </row>
    <row r="18" spans="1:7" x14ac:dyDescent="0.3">
      <c r="A18" s="75" t="s">
        <v>42</v>
      </c>
      <c r="B18" s="38">
        <v>1300</v>
      </c>
      <c r="C18" s="38">
        <v>1300</v>
      </c>
      <c r="D18" s="40">
        <v>0</v>
      </c>
      <c r="E18" s="38">
        <v>1300</v>
      </c>
      <c r="F18" s="38">
        <v>1300</v>
      </c>
      <c r="G18" s="40">
        <v>0</v>
      </c>
    </row>
    <row r="19" spans="1:7" x14ac:dyDescent="0.3">
      <c r="A19" s="75" t="s">
        <v>43</v>
      </c>
      <c r="B19" s="38">
        <v>8100</v>
      </c>
      <c r="C19" s="38">
        <v>8400</v>
      </c>
      <c r="D19" s="40">
        <v>3.7037037037037033</v>
      </c>
      <c r="E19" s="38">
        <v>8200</v>
      </c>
      <c r="F19" s="38">
        <v>8300</v>
      </c>
      <c r="G19" s="40">
        <v>1.2195121951219512</v>
      </c>
    </row>
    <row r="20" spans="1:7" x14ac:dyDescent="0.3">
      <c r="A20" s="75" t="s">
        <v>45</v>
      </c>
      <c r="B20" s="38">
        <v>2100</v>
      </c>
      <c r="C20" s="38">
        <v>2400</v>
      </c>
      <c r="D20" s="40">
        <v>14.285714285714285</v>
      </c>
      <c r="E20" s="38">
        <v>2000</v>
      </c>
      <c r="F20" s="38">
        <v>2300</v>
      </c>
      <c r="G20" s="40">
        <v>15</v>
      </c>
    </row>
    <row r="21" spans="1:7" x14ac:dyDescent="0.3">
      <c r="A21" s="76" t="s">
        <v>81</v>
      </c>
      <c r="B21" s="38">
        <v>10800</v>
      </c>
      <c r="C21" s="38">
        <v>11000</v>
      </c>
      <c r="D21" s="40">
        <v>1.8518518518518516</v>
      </c>
      <c r="E21" s="38">
        <v>10700</v>
      </c>
      <c r="F21" s="38">
        <v>10900</v>
      </c>
      <c r="G21" s="40">
        <v>1.8691588785046727</v>
      </c>
    </row>
    <row r="22" spans="1:7" x14ac:dyDescent="0.3">
      <c r="A22" s="76" t="s">
        <v>82</v>
      </c>
      <c r="B22" s="38">
        <v>9400</v>
      </c>
      <c r="C22" s="38">
        <v>9800</v>
      </c>
      <c r="D22" s="40">
        <v>4.2553191489361701</v>
      </c>
      <c r="E22" s="38">
        <v>9300</v>
      </c>
      <c r="F22" s="38">
        <v>9500</v>
      </c>
      <c r="G22" s="40">
        <v>2.1505376344086025</v>
      </c>
    </row>
    <row r="23" spans="1:7" x14ac:dyDescent="0.3">
      <c r="A23" s="75" t="s">
        <v>83</v>
      </c>
      <c r="B23" s="38">
        <v>3300</v>
      </c>
      <c r="C23" s="38">
        <v>3200</v>
      </c>
      <c r="D23" s="40">
        <v>-3.0303030303030303</v>
      </c>
      <c r="E23" s="38">
        <v>3300</v>
      </c>
      <c r="F23" s="38">
        <v>3300</v>
      </c>
      <c r="G23" s="40">
        <v>0</v>
      </c>
    </row>
    <row r="24" spans="1:7" x14ac:dyDescent="0.3">
      <c r="A24" s="75" t="s">
        <v>84</v>
      </c>
      <c r="B24" s="38">
        <v>9100</v>
      </c>
      <c r="C24" s="38">
        <v>9200</v>
      </c>
      <c r="D24" s="40">
        <v>1.098901098901099</v>
      </c>
      <c r="E24" s="38">
        <v>9000</v>
      </c>
      <c r="F24" s="38">
        <v>9200</v>
      </c>
      <c r="G24" s="40">
        <v>2.2222222222222223</v>
      </c>
    </row>
    <row r="25" spans="1:7" x14ac:dyDescent="0.3">
      <c r="A25" s="76" t="s">
        <v>85</v>
      </c>
      <c r="B25" s="38">
        <v>800</v>
      </c>
      <c r="C25" s="38">
        <v>800</v>
      </c>
      <c r="D25" s="40">
        <v>0</v>
      </c>
      <c r="E25" s="38">
        <v>800</v>
      </c>
      <c r="F25" s="38">
        <v>800</v>
      </c>
      <c r="G25" s="40">
        <v>0</v>
      </c>
    </row>
    <row r="26" spans="1:7" x14ac:dyDescent="0.3">
      <c r="A26" s="76" t="s">
        <v>86</v>
      </c>
      <c r="B26" s="38">
        <v>5300</v>
      </c>
      <c r="C26" s="38">
        <v>5200</v>
      </c>
      <c r="D26" s="40">
        <v>-1.8867924528301887</v>
      </c>
      <c r="E26" s="38">
        <v>5400</v>
      </c>
      <c r="F26" s="38">
        <v>5400</v>
      </c>
      <c r="G26" s="40">
        <v>0</v>
      </c>
    </row>
    <row r="27" spans="1:7" x14ac:dyDescent="0.3">
      <c r="A27" s="76" t="s">
        <v>87</v>
      </c>
      <c r="B27" s="38">
        <v>3000</v>
      </c>
      <c r="C27" s="38">
        <v>3200</v>
      </c>
      <c r="D27" s="40">
        <v>6.666666666666667</v>
      </c>
      <c r="E27" s="38">
        <v>2800</v>
      </c>
      <c r="F27" s="38">
        <v>3000</v>
      </c>
      <c r="G27" s="40">
        <v>7.1428571428571423</v>
      </c>
    </row>
    <row r="28" spans="1:7" ht="14.4" customHeight="1" x14ac:dyDescent="0.3">
      <c r="A28" s="72" t="s">
        <v>138</v>
      </c>
      <c r="B28" s="96" t="s">
        <v>73</v>
      </c>
      <c r="C28" s="96" t="s">
        <v>73</v>
      </c>
      <c r="D28" s="74" t="s">
        <v>73</v>
      </c>
      <c r="E28" s="96" t="s">
        <v>73</v>
      </c>
      <c r="F28" s="96" t="s">
        <v>73</v>
      </c>
      <c r="G28" s="40" t="s">
        <v>73</v>
      </c>
    </row>
    <row r="29" spans="1:7" ht="28.2" customHeight="1" x14ac:dyDescent="0.3">
      <c r="A29" s="72" t="s">
        <v>125</v>
      </c>
      <c r="B29" s="96" t="s">
        <v>73</v>
      </c>
      <c r="C29" s="96" t="s">
        <v>73</v>
      </c>
      <c r="D29" s="74" t="s">
        <v>73</v>
      </c>
      <c r="E29" s="96" t="s">
        <v>73</v>
      </c>
      <c r="F29" s="96" t="s">
        <v>73</v>
      </c>
      <c r="G29" s="40" t="s">
        <v>73</v>
      </c>
    </row>
    <row r="30" spans="1:7" x14ac:dyDescent="0.3">
      <c r="A30" s="72" t="s">
        <v>126</v>
      </c>
      <c r="B30" s="96" t="s">
        <v>73</v>
      </c>
      <c r="C30" s="96" t="s">
        <v>73</v>
      </c>
      <c r="D30" s="74" t="s">
        <v>73</v>
      </c>
      <c r="E30" s="96" t="s">
        <v>73</v>
      </c>
      <c r="F30" s="96" t="s">
        <v>73</v>
      </c>
      <c r="G30" s="40" t="s">
        <v>73</v>
      </c>
    </row>
    <row r="31" spans="1:7" x14ac:dyDescent="0.3">
      <c r="A31" s="75" t="s">
        <v>127</v>
      </c>
      <c r="B31" s="96" t="s">
        <v>73</v>
      </c>
      <c r="C31" s="96" t="s">
        <v>73</v>
      </c>
      <c r="D31" s="74" t="s">
        <v>73</v>
      </c>
      <c r="E31" s="96" t="s">
        <v>73</v>
      </c>
      <c r="F31" s="96" t="s">
        <v>73</v>
      </c>
      <c r="G31" s="40" t="s">
        <v>73</v>
      </c>
    </row>
    <row r="32" spans="1:7" x14ac:dyDescent="0.3">
      <c r="A32" s="75" t="s">
        <v>128</v>
      </c>
      <c r="B32" s="96" t="s">
        <v>73</v>
      </c>
      <c r="C32" s="96" t="s">
        <v>73</v>
      </c>
      <c r="D32" s="74" t="s">
        <v>73</v>
      </c>
      <c r="E32" s="96" t="s">
        <v>73</v>
      </c>
      <c r="F32" s="96" t="s">
        <v>73</v>
      </c>
      <c r="G32" s="40" t="s">
        <v>73</v>
      </c>
    </row>
    <row r="33" spans="1:7" x14ac:dyDescent="0.3">
      <c r="A33" s="75" t="s">
        <v>129</v>
      </c>
      <c r="B33" s="96" t="s">
        <v>73</v>
      </c>
      <c r="C33" s="96" t="s">
        <v>73</v>
      </c>
      <c r="D33" s="74" t="s">
        <v>73</v>
      </c>
      <c r="E33" s="96" t="s">
        <v>73</v>
      </c>
      <c r="F33" s="96" t="s">
        <v>73</v>
      </c>
      <c r="G33" s="40" t="s">
        <v>73</v>
      </c>
    </row>
    <row r="34" spans="1:7" x14ac:dyDescent="0.3">
      <c r="A34" s="75" t="s">
        <v>130</v>
      </c>
      <c r="B34" s="96" t="s">
        <v>73</v>
      </c>
      <c r="C34" s="96" t="s">
        <v>73</v>
      </c>
      <c r="D34" s="74" t="s">
        <v>73</v>
      </c>
      <c r="E34" s="96" t="s">
        <v>73</v>
      </c>
      <c r="F34" s="96" t="s">
        <v>73</v>
      </c>
      <c r="G34" s="40" t="s">
        <v>73</v>
      </c>
    </row>
    <row r="35" spans="1:7" x14ac:dyDescent="0.3">
      <c r="A35" s="72" t="s">
        <v>131</v>
      </c>
      <c r="B35" s="96" t="s">
        <v>73</v>
      </c>
      <c r="C35" s="96" t="s">
        <v>73</v>
      </c>
      <c r="D35" s="74" t="s">
        <v>73</v>
      </c>
      <c r="E35" s="96" t="s">
        <v>73</v>
      </c>
      <c r="F35" s="96" t="s">
        <v>73</v>
      </c>
      <c r="G35" s="40" t="s">
        <v>73</v>
      </c>
    </row>
    <row r="36" spans="1:7" ht="14.4" customHeight="1" x14ac:dyDescent="0.3">
      <c r="A36" s="72" t="s">
        <v>139</v>
      </c>
      <c r="B36" s="107">
        <v>7748.7947300000005</v>
      </c>
      <c r="C36" s="107">
        <v>8694.0769999999993</v>
      </c>
      <c r="D36" s="113">
        <v>12.199087767033916</v>
      </c>
      <c r="E36" s="107">
        <v>54169.364350000003</v>
      </c>
      <c r="F36" s="107">
        <v>56372.437180000001</v>
      </c>
      <c r="G36" s="113">
        <v>4.0670088276566556</v>
      </c>
    </row>
    <row r="37" spans="1:7" ht="25.2" customHeight="1" x14ac:dyDescent="0.3">
      <c r="A37" s="69" t="s">
        <v>98</v>
      </c>
      <c r="B37" s="38">
        <v>105675.89</v>
      </c>
      <c r="C37" s="38">
        <v>27056.791000000001</v>
      </c>
      <c r="D37" s="40">
        <v>-74.396438960674942</v>
      </c>
      <c r="E37" s="38">
        <v>485983.83202999999</v>
      </c>
      <c r="F37" s="38">
        <v>276091.60555000004</v>
      </c>
      <c r="G37" s="40">
        <v>-43.189137713339242</v>
      </c>
    </row>
    <row r="38" spans="1:7" x14ac:dyDescent="0.3">
      <c r="A38" s="72" t="s">
        <v>99</v>
      </c>
      <c r="B38" s="38">
        <v>29128.314999999999</v>
      </c>
      <c r="C38" s="38">
        <v>27056.791000000001</v>
      </c>
      <c r="D38" s="40">
        <v>-7.1117193013052677</v>
      </c>
      <c r="E38" s="38">
        <v>260967.52600000004</v>
      </c>
      <c r="F38" s="38">
        <v>169200.27692999999</v>
      </c>
      <c r="G38" s="40">
        <v>-35.164240730089936</v>
      </c>
    </row>
    <row r="39" spans="1:7" x14ac:dyDescent="0.3">
      <c r="A39" s="72" t="s">
        <v>100</v>
      </c>
      <c r="B39" s="38">
        <v>71503.092999999993</v>
      </c>
      <c r="C39" s="38">
        <v>0</v>
      </c>
      <c r="D39" s="40">
        <v>-100</v>
      </c>
      <c r="E39" s="38">
        <v>160629.927</v>
      </c>
      <c r="F39" s="38">
        <v>28440.130579999997</v>
      </c>
      <c r="G39" s="40">
        <v>-82.294625222608744</v>
      </c>
    </row>
    <row r="40" spans="1:7" ht="18" customHeight="1" x14ac:dyDescent="0.3">
      <c r="A40" s="72" t="s">
        <v>101</v>
      </c>
      <c r="B40" s="38">
        <v>5044.482</v>
      </c>
      <c r="C40" s="38">
        <v>0</v>
      </c>
      <c r="D40" s="40">
        <v>-100</v>
      </c>
      <c r="E40" s="38">
        <v>64386.379029999996</v>
      </c>
      <c r="F40" s="38">
        <v>78451.198040000017</v>
      </c>
      <c r="G40" s="40">
        <v>21.844401287804523</v>
      </c>
    </row>
    <row r="41" spans="1:7" ht="25.95" customHeight="1" x14ac:dyDescent="0.3">
      <c r="A41" s="69" t="s">
        <v>102</v>
      </c>
      <c r="B41" s="38">
        <v>60</v>
      </c>
      <c r="C41" s="38">
        <v>55</v>
      </c>
      <c r="D41" s="40">
        <v>-8.3333333333333321</v>
      </c>
      <c r="E41" s="38">
        <v>409</v>
      </c>
      <c r="F41" s="38">
        <v>419</v>
      </c>
      <c r="G41" s="40">
        <v>2.4449877750611249</v>
      </c>
    </row>
    <row r="42" spans="1:7" x14ac:dyDescent="0.3">
      <c r="A42" s="72" t="s">
        <v>103</v>
      </c>
      <c r="B42" s="38">
        <v>1315000</v>
      </c>
      <c r="C42" s="38">
        <v>1150000</v>
      </c>
      <c r="D42" s="40">
        <v>-12.547528517110266</v>
      </c>
      <c r="E42" s="38">
        <v>1300000</v>
      </c>
      <c r="F42" s="38">
        <v>1228000</v>
      </c>
      <c r="G42" s="40">
        <v>-5.5384615384615383</v>
      </c>
    </row>
    <row r="43" spans="1:7" x14ac:dyDescent="0.3">
      <c r="A43" s="72" t="s">
        <v>104</v>
      </c>
      <c r="B43" s="38">
        <v>450</v>
      </c>
      <c r="C43" s="38">
        <v>469</v>
      </c>
      <c r="D43" s="40">
        <v>4.2222222222222223</v>
      </c>
      <c r="E43" s="38">
        <v>436.42857142857144</v>
      </c>
      <c r="F43" s="38">
        <v>462</v>
      </c>
      <c r="G43" s="40">
        <v>5.8592471358428764</v>
      </c>
    </row>
    <row r="44" spans="1:7" x14ac:dyDescent="0.3">
      <c r="A44" s="69" t="s">
        <v>105</v>
      </c>
      <c r="B44" s="38">
        <v>53</v>
      </c>
      <c r="C44" s="38">
        <v>82</v>
      </c>
      <c r="D44" s="40">
        <v>54.716981132075468</v>
      </c>
      <c r="E44" s="38">
        <v>409</v>
      </c>
      <c r="F44" s="38">
        <v>477</v>
      </c>
      <c r="G44" s="40">
        <v>16.625916870415647</v>
      </c>
    </row>
    <row r="45" spans="1:7" x14ac:dyDescent="0.3">
      <c r="A45" s="72" t="s">
        <v>106</v>
      </c>
      <c r="B45" s="38">
        <v>675000</v>
      </c>
      <c r="C45" s="38">
        <v>690000</v>
      </c>
      <c r="D45" s="40">
        <v>2.2222222222222223</v>
      </c>
      <c r="E45" s="38">
        <v>732000</v>
      </c>
      <c r="F45" s="38">
        <v>660000</v>
      </c>
      <c r="G45" s="40">
        <v>-9.8360655737704921</v>
      </c>
    </row>
    <row r="46" spans="1:7" ht="13.2" customHeight="1" x14ac:dyDescent="0.3">
      <c r="A46" s="72" t="s">
        <v>104</v>
      </c>
      <c r="B46" s="38">
        <v>882</v>
      </c>
      <c r="C46" s="38">
        <v>878</v>
      </c>
      <c r="D46" s="40">
        <v>-0.45351473922902497</v>
      </c>
      <c r="E46" s="38">
        <v>876.14285714285711</v>
      </c>
      <c r="F46" s="38">
        <v>927</v>
      </c>
      <c r="G46" s="40">
        <v>5.8046632969183145</v>
      </c>
    </row>
    <row r="47" spans="1:7" ht="26.4" customHeight="1" x14ac:dyDescent="0.3">
      <c r="A47" s="73" t="s">
        <v>107</v>
      </c>
      <c r="B47" s="38">
        <v>1803423.542449807</v>
      </c>
      <c r="C47" s="96" t="s">
        <v>73</v>
      </c>
      <c r="D47" s="74" t="s">
        <v>73</v>
      </c>
      <c r="E47" s="38">
        <v>11983417.992662899</v>
      </c>
      <c r="F47" s="96" t="s">
        <v>73</v>
      </c>
      <c r="G47" s="40" t="s">
        <v>73</v>
      </c>
    </row>
    <row r="48" spans="1:7" x14ac:dyDescent="0.3">
      <c r="A48" s="72" t="s">
        <v>108</v>
      </c>
      <c r="B48" s="38">
        <v>1714914.6111004655</v>
      </c>
      <c r="C48" s="96" t="s">
        <v>73</v>
      </c>
      <c r="D48" s="74" t="s">
        <v>73</v>
      </c>
      <c r="E48" s="38">
        <v>10951891.945874345</v>
      </c>
      <c r="F48" s="96" t="s">
        <v>73</v>
      </c>
      <c r="G48" s="40" t="s">
        <v>73</v>
      </c>
    </row>
    <row r="49" spans="1:7" x14ac:dyDescent="0.3">
      <c r="A49" s="72" t="s">
        <v>109</v>
      </c>
      <c r="B49" s="38">
        <v>88508.931349332372</v>
      </c>
      <c r="C49" s="96" t="s">
        <v>73</v>
      </c>
      <c r="D49" s="74" t="s">
        <v>73</v>
      </c>
      <c r="E49" s="38">
        <v>1031526.0467885842</v>
      </c>
      <c r="F49" s="96" t="s">
        <v>73</v>
      </c>
      <c r="G49" s="40" t="s">
        <v>73</v>
      </c>
    </row>
    <row r="50" spans="1:7" x14ac:dyDescent="0.3">
      <c r="A50" s="69" t="s">
        <v>110</v>
      </c>
      <c r="B50" s="38">
        <v>237606.15531678396</v>
      </c>
      <c r="C50" s="96" t="s">
        <v>73</v>
      </c>
      <c r="D50" s="74" t="s">
        <v>73</v>
      </c>
      <c r="E50" s="38">
        <v>1521766.7652623774</v>
      </c>
      <c r="F50" s="96" t="s">
        <v>73</v>
      </c>
      <c r="G50" s="40" t="s">
        <v>73</v>
      </c>
    </row>
    <row r="51" spans="1:7" x14ac:dyDescent="0.3">
      <c r="A51" s="72" t="s">
        <v>111</v>
      </c>
      <c r="B51" s="38">
        <v>222105.47895833664</v>
      </c>
      <c r="C51" s="96" t="s">
        <v>73</v>
      </c>
      <c r="D51" s="74" t="s">
        <v>73</v>
      </c>
      <c r="E51" s="38">
        <v>1388197.4096330961</v>
      </c>
      <c r="F51" s="96" t="s">
        <v>73</v>
      </c>
      <c r="G51" s="40" t="s">
        <v>73</v>
      </c>
    </row>
    <row r="52" spans="1:7" ht="15" customHeight="1" x14ac:dyDescent="0.3">
      <c r="A52" s="72" t="s">
        <v>112</v>
      </c>
      <c r="B52" s="38">
        <v>15500.676358447314</v>
      </c>
      <c r="C52" s="96" t="s">
        <v>73</v>
      </c>
      <c r="D52" s="74" t="s">
        <v>73</v>
      </c>
      <c r="E52" s="38">
        <v>133569.35562928134</v>
      </c>
      <c r="F52" s="96" t="s">
        <v>73</v>
      </c>
      <c r="G52" s="40" t="s">
        <v>73</v>
      </c>
    </row>
    <row r="53" spans="1:7" ht="15" customHeight="1" x14ac:dyDescent="0.3">
      <c r="A53" s="77" t="s">
        <v>113</v>
      </c>
      <c r="B53" s="78">
        <v>524016.40554459946</v>
      </c>
      <c r="C53" s="96" t="s">
        <v>73</v>
      </c>
      <c r="D53" s="74" t="s">
        <v>73</v>
      </c>
      <c r="E53" s="78">
        <v>3564228.2730189236</v>
      </c>
      <c r="F53" s="96" t="s">
        <v>73</v>
      </c>
      <c r="G53" s="79" t="s">
        <v>73</v>
      </c>
    </row>
    <row r="54" spans="1:7" ht="27" customHeight="1" x14ac:dyDescent="0.3">
      <c r="A54" s="112" t="s">
        <v>114</v>
      </c>
      <c r="B54" s="103"/>
      <c r="C54" s="103"/>
      <c r="D54" s="104"/>
      <c r="E54" s="103"/>
      <c r="F54" s="103"/>
      <c r="G54" s="104"/>
    </row>
    <row r="55" spans="1:7" ht="12.75" customHeight="1" x14ac:dyDescent="0.3">
      <c r="A55" s="111" t="s">
        <v>63</v>
      </c>
      <c r="B55" s="53"/>
      <c r="C55" s="53"/>
      <c r="D55" s="53"/>
      <c r="E55" s="82"/>
      <c r="F55" s="53"/>
      <c r="G55" s="53"/>
    </row>
    <row r="56" spans="1:7" ht="12.75" customHeight="1" x14ac:dyDescent="0.3">
      <c r="A56" s="111" t="s">
        <v>64</v>
      </c>
      <c r="B56" s="56"/>
      <c r="C56" s="56"/>
      <c r="D56" s="56"/>
      <c r="E56" s="83"/>
      <c r="F56" s="56"/>
      <c r="G56" s="56"/>
    </row>
    <row r="57" spans="1:7" ht="12.75" customHeight="1" x14ac:dyDescent="0.3">
      <c r="A57" s="111" t="s">
        <v>115</v>
      </c>
      <c r="B57" s="53"/>
      <c r="C57" s="53"/>
      <c r="D57" s="53"/>
      <c r="E57" s="82"/>
      <c r="F57" s="53"/>
      <c r="G57" s="53"/>
    </row>
    <row r="58" spans="1:7" ht="12.75" customHeight="1" x14ac:dyDescent="0.3">
      <c r="A58" s="111" t="s">
        <v>116</v>
      </c>
      <c r="B58" s="53"/>
      <c r="C58" s="53"/>
      <c r="D58" s="53"/>
      <c r="E58" s="82"/>
      <c r="F58" s="53"/>
      <c r="G58" s="53"/>
    </row>
    <row r="59" spans="1:7" ht="12.75" customHeight="1" x14ac:dyDescent="0.3">
      <c r="A59" s="111" t="s">
        <v>117</v>
      </c>
      <c r="B59" s="50"/>
      <c r="C59" s="50"/>
      <c r="D59" s="50"/>
      <c r="E59" s="50"/>
      <c r="F59" s="53"/>
      <c r="G59" s="53"/>
    </row>
    <row r="60" spans="1:7" ht="12.75" customHeight="1" x14ac:dyDescent="0.3">
      <c r="A60" s="111" t="s">
        <v>118</v>
      </c>
      <c r="B60" s="53"/>
      <c r="C60" s="53"/>
      <c r="D60" s="53"/>
      <c r="E60" s="82"/>
      <c r="F60" s="53"/>
      <c r="G60" s="53"/>
    </row>
    <row r="61" spans="1:7" ht="12.75" customHeight="1" x14ac:dyDescent="0.3">
      <c r="A61" s="111" t="s">
        <v>119</v>
      </c>
      <c r="B61" s="53"/>
      <c r="C61" s="53"/>
      <c r="D61" s="53"/>
      <c r="E61" s="82"/>
      <c r="F61" s="53"/>
      <c r="G61" s="53"/>
    </row>
    <row r="62" spans="1:7" x14ac:dyDescent="0.3">
      <c r="A62" s="111" t="s">
        <v>120</v>
      </c>
      <c r="B62" s="53"/>
      <c r="C62" s="53"/>
      <c r="D62" s="53"/>
      <c r="E62" s="82"/>
      <c r="F62" s="53"/>
      <c r="G62" s="98"/>
    </row>
    <row r="63" spans="1:7" x14ac:dyDescent="0.3">
      <c r="A63" s="111" t="s">
        <v>121</v>
      </c>
      <c r="B63" s="51"/>
      <c r="C63" s="51"/>
      <c r="D63" s="52"/>
      <c r="E63" s="50"/>
      <c r="F63" s="51"/>
      <c r="G63" s="53"/>
    </row>
    <row r="64" spans="1:7" x14ac:dyDescent="0.3">
      <c r="A64" s="111" t="s">
        <v>122</v>
      </c>
      <c r="B64" s="51"/>
      <c r="C64" s="51"/>
      <c r="D64" s="52"/>
      <c r="E64" s="50"/>
      <c r="F64" s="51"/>
      <c r="G64" s="53"/>
    </row>
    <row r="65" spans="1:1" x14ac:dyDescent="0.3">
      <c r="A65" s="111" t="s">
        <v>123</v>
      </c>
    </row>
  </sheetData>
  <printOptions horizontalCentered="1"/>
  <pageMargins left="0.7" right="0.7" top="0.75" bottom="0.75" header="0.3" footer="0.3"/>
  <pageSetup scale="65" orientation="portrait" r:id="rId1"/>
  <headerFooter alignWithMargins="0">
    <oddFooter>&amp;LDBEDT Monthly Economic Indicators&amp;Rhttp://dbedt.hawaii.gov/economic/mei/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65"/>
  <sheetViews>
    <sheetView zoomScale="85" zoomScaleNormal="85" workbookViewId="0"/>
  </sheetViews>
  <sheetFormatPr defaultColWidth="9.109375" defaultRowHeight="15.6" x14ac:dyDescent="0.3"/>
  <cols>
    <col min="1" max="1" width="50.33203125" style="57" customWidth="1"/>
    <col min="2" max="3" width="12.33203125" style="58" customWidth="1"/>
    <col min="4" max="4" width="14" style="59" customWidth="1"/>
    <col min="5" max="5" width="14" style="27" customWidth="1"/>
    <col min="6" max="6" width="14" style="58" customWidth="1"/>
    <col min="7" max="7" width="14" style="60" customWidth="1"/>
    <col min="8" max="8" width="9.109375" style="27" customWidth="1"/>
    <col min="9" max="16384" width="9.109375" style="27"/>
  </cols>
  <sheetData>
    <row r="1" spans="1:11" ht="17.399999999999999" customHeight="1" x14ac:dyDescent="0.3">
      <c r="A1" s="17" t="s">
        <v>163</v>
      </c>
      <c r="B1" s="18"/>
      <c r="C1" s="61"/>
      <c r="D1" s="61"/>
      <c r="E1" s="19"/>
      <c r="F1" s="18"/>
      <c r="G1" s="63"/>
      <c r="J1" s="64"/>
      <c r="K1" s="64"/>
    </row>
    <row r="2" spans="1:11" ht="30.6" customHeight="1" x14ac:dyDescent="0.3">
      <c r="A2" s="22" t="s">
        <v>159</v>
      </c>
      <c r="B2" s="22"/>
      <c r="C2" s="62"/>
      <c r="D2" s="62"/>
      <c r="E2" s="23"/>
      <c r="F2" s="62"/>
      <c r="G2" s="62"/>
      <c r="J2" s="64"/>
      <c r="K2" s="64"/>
    </row>
    <row r="3" spans="1:11" s="68" customFormat="1" ht="62.4" customHeight="1" x14ac:dyDescent="0.3">
      <c r="A3" s="65" t="s">
        <v>124</v>
      </c>
      <c r="B3" s="31" t="s">
        <v>156</v>
      </c>
      <c r="C3" s="66" t="s">
        <v>154</v>
      </c>
      <c r="D3" s="32" t="s">
        <v>18</v>
      </c>
      <c r="E3" s="67" t="s">
        <v>157</v>
      </c>
      <c r="F3" s="67" t="s">
        <v>155</v>
      </c>
      <c r="G3" s="67" t="s">
        <v>19</v>
      </c>
    </row>
    <row r="4" spans="1:11" x14ac:dyDescent="0.3">
      <c r="A4" s="69" t="s">
        <v>133</v>
      </c>
      <c r="B4" s="70">
        <v>38250</v>
      </c>
      <c r="C4" s="70">
        <v>38600</v>
      </c>
      <c r="D4" s="71">
        <v>0.91503267973856217</v>
      </c>
      <c r="E4" s="70">
        <v>37700</v>
      </c>
      <c r="F4" s="70">
        <v>37800</v>
      </c>
      <c r="G4" s="71">
        <v>0.2652519893899204</v>
      </c>
    </row>
    <row r="5" spans="1:11" x14ac:dyDescent="0.3">
      <c r="A5" s="72" t="s">
        <v>134</v>
      </c>
      <c r="B5" s="38">
        <v>37450</v>
      </c>
      <c r="C5" s="38">
        <v>37650</v>
      </c>
      <c r="D5" s="40">
        <v>0.53404539385847793</v>
      </c>
      <c r="E5" s="38">
        <v>36900</v>
      </c>
      <c r="F5" s="38">
        <v>36900</v>
      </c>
      <c r="G5" s="40">
        <v>0</v>
      </c>
    </row>
    <row r="6" spans="1:11" x14ac:dyDescent="0.3">
      <c r="A6" s="72" t="s">
        <v>135</v>
      </c>
      <c r="B6" s="38">
        <v>750</v>
      </c>
      <c r="C6" s="38">
        <v>950</v>
      </c>
      <c r="D6" s="40">
        <v>26.666666666666668</v>
      </c>
      <c r="E6" s="38">
        <v>800</v>
      </c>
      <c r="F6" s="38">
        <v>900</v>
      </c>
      <c r="G6" s="40">
        <v>12.5</v>
      </c>
    </row>
    <row r="7" spans="1:11" ht="13.2" customHeight="1" x14ac:dyDescent="0.3">
      <c r="A7" s="69" t="s">
        <v>136</v>
      </c>
      <c r="B7" s="38">
        <v>2</v>
      </c>
      <c r="C7" s="38">
        <v>2.4</v>
      </c>
      <c r="D7" s="40">
        <v>0.39999999999999991</v>
      </c>
      <c r="E7" s="38">
        <v>2.2000000000000002</v>
      </c>
      <c r="F7" s="38">
        <v>2.3000000000000003</v>
      </c>
      <c r="G7" s="40">
        <v>0.10000000000000009</v>
      </c>
    </row>
    <row r="8" spans="1:11" ht="29.4" customHeight="1" x14ac:dyDescent="0.3">
      <c r="A8" s="73" t="s">
        <v>137</v>
      </c>
      <c r="B8" s="96" t="s">
        <v>73</v>
      </c>
      <c r="C8" s="96" t="s">
        <v>73</v>
      </c>
      <c r="D8" s="74" t="s">
        <v>73</v>
      </c>
      <c r="E8" s="96" t="s">
        <v>73</v>
      </c>
      <c r="F8" s="96" t="s">
        <v>73</v>
      </c>
      <c r="G8" s="40" t="s">
        <v>73</v>
      </c>
    </row>
    <row r="9" spans="1:11" x14ac:dyDescent="0.3">
      <c r="A9" s="72" t="s">
        <v>74</v>
      </c>
      <c r="B9" s="38">
        <v>33300</v>
      </c>
      <c r="C9" s="38">
        <v>33600</v>
      </c>
      <c r="D9" s="40">
        <v>0.90090090090090091</v>
      </c>
      <c r="E9" s="38">
        <v>33000</v>
      </c>
      <c r="F9" s="38">
        <v>33100</v>
      </c>
      <c r="G9" s="40">
        <v>0.30303030303030304</v>
      </c>
    </row>
    <row r="10" spans="1:11" x14ac:dyDescent="0.3">
      <c r="A10" s="75" t="s">
        <v>75</v>
      </c>
      <c r="B10" s="38">
        <v>2200</v>
      </c>
      <c r="C10" s="38">
        <v>2400</v>
      </c>
      <c r="D10" s="40">
        <v>9.0909090909090917</v>
      </c>
      <c r="E10" s="38">
        <v>2200</v>
      </c>
      <c r="F10" s="38">
        <v>2300</v>
      </c>
      <c r="G10" s="40">
        <v>4.5454545454545459</v>
      </c>
    </row>
    <row r="11" spans="1:11" x14ac:dyDescent="0.3">
      <c r="A11" s="75" t="s">
        <v>76</v>
      </c>
      <c r="B11" s="38">
        <v>600</v>
      </c>
      <c r="C11" s="38">
        <v>600</v>
      </c>
      <c r="D11" s="40">
        <v>0</v>
      </c>
      <c r="E11" s="38">
        <v>600</v>
      </c>
      <c r="F11" s="38">
        <v>600</v>
      </c>
      <c r="G11" s="40">
        <v>0</v>
      </c>
    </row>
    <row r="12" spans="1:11" x14ac:dyDescent="0.3">
      <c r="A12" s="75" t="s">
        <v>30</v>
      </c>
      <c r="B12" s="38">
        <v>500</v>
      </c>
      <c r="C12" s="38">
        <v>500</v>
      </c>
      <c r="D12" s="40">
        <v>0</v>
      </c>
      <c r="E12" s="38">
        <v>500</v>
      </c>
      <c r="F12" s="38">
        <v>500</v>
      </c>
      <c r="G12" s="40">
        <v>0</v>
      </c>
    </row>
    <row r="13" spans="1:11" x14ac:dyDescent="0.3">
      <c r="A13" s="75" t="s">
        <v>31</v>
      </c>
      <c r="B13" s="38">
        <v>3800</v>
      </c>
      <c r="C13" s="38">
        <v>3800</v>
      </c>
      <c r="D13" s="40">
        <v>0</v>
      </c>
      <c r="E13" s="38">
        <v>3800</v>
      </c>
      <c r="F13" s="38">
        <v>3800</v>
      </c>
      <c r="G13" s="40">
        <v>0</v>
      </c>
    </row>
    <row r="14" spans="1:11" x14ac:dyDescent="0.3">
      <c r="A14" s="75" t="s">
        <v>77</v>
      </c>
      <c r="B14" s="38">
        <v>1800</v>
      </c>
      <c r="C14" s="38">
        <v>1800</v>
      </c>
      <c r="D14" s="40">
        <v>0</v>
      </c>
      <c r="E14" s="38">
        <v>1800</v>
      </c>
      <c r="F14" s="38">
        <v>1800</v>
      </c>
      <c r="G14" s="40">
        <v>0</v>
      </c>
    </row>
    <row r="15" spans="1:11" x14ac:dyDescent="0.3">
      <c r="A15" s="75" t="s">
        <v>78</v>
      </c>
      <c r="B15" s="38">
        <v>200</v>
      </c>
      <c r="C15" s="38">
        <v>200</v>
      </c>
      <c r="D15" s="40">
        <v>0</v>
      </c>
      <c r="E15" s="38">
        <v>200</v>
      </c>
      <c r="F15" s="38">
        <v>200</v>
      </c>
      <c r="G15" s="40">
        <v>0</v>
      </c>
    </row>
    <row r="16" spans="1:11" x14ac:dyDescent="0.3">
      <c r="A16" s="75" t="s">
        <v>79</v>
      </c>
      <c r="B16" s="38">
        <v>1100</v>
      </c>
      <c r="C16" s="38">
        <v>1100</v>
      </c>
      <c r="D16" s="40">
        <v>0</v>
      </c>
      <c r="E16" s="38">
        <v>1100</v>
      </c>
      <c r="F16" s="38">
        <v>1100</v>
      </c>
      <c r="G16" s="40">
        <v>0</v>
      </c>
    </row>
    <row r="17" spans="1:7" x14ac:dyDescent="0.3">
      <c r="A17" s="75" t="s">
        <v>80</v>
      </c>
      <c r="B17" s="38">
        <v>3000</v>
      </c>
      <c r="C17" s="38">
        <v>3100</v>
      </c>
      <c r="D17" s="40">
        <v>3.3333333333333335</v>
      </c>
      <c r="E17" s="38">
        <v>3000</v>
      </c>
      <c r="F17" s="38">
        <v>3000</v>
      </c>
      <c r="G17" s="40">
        <v>0</v>
      </c>
    </row>
    <row r="18" spans="1:7" x14ac:dyDescent="0.3">
      <c r="A18" s="75" t="s">
        <v>42</v>
      </c>
      <c r="B18" s="38">
        <v>200</v>
      </c>
      <c r="C18" s="38">
        <v>200</v>
      </c>
      <c r="D18" s="40">
        <v>0</v>
      </c>
      <c r="E18" s="38">
        <v>300</v>
      </c>
      <c r="F18" s="38">
        <v>300</v>
      </c>
      <c r="G18" s="40">
        <v>0</v>
      </c>
    </row>
    <row r="19" spans="1:7" x14ac:dyDescent="0.3">
      <c r="A19" s="75" t="s">
        <v>43</v>
      </c>
      <c r="B19" s="38">
        <v>2800</v>
      </c>
      <c r="C19" s="38">
        <v>2800</v>
      </c>
      <c r="D19" s="40">
        <v>0</v>
      </c>
      <c r="E19" s="38">
        <v>2700</v>
      </c>
      <c r="F19" s="38">
        <v>2800</v>
      </c>
      <c r="G19" s="40">
        <v>3.7037037037037033</v>
      </c>
    </row>
    <row r="20" spans="1:7" x14ac:dyDescent="0.3">
      <c r="A20" s="75" t="s">
        <v>45</v>
      </c>
      <c r="B20" s="38">
        <v>1300</v>
      </c>
      <c r="C20" s="38">
        <v>1400</v>
      </c>
      <c r="D20" s="40">
        <v>7.6923076923076925</v>
      </c>
      <c r="E20" s="38">
        <v>1200</v>
      </c>
      <c r="F20" s="38">
        <v>1300</v>
      </c>
      <c r="G20" s="40">
        <v>8.3333333333333321</v>
      </c>
    </row>
    <row r="21" spans="1:7" x14ac:dyDescent="0.3">
      <c r="A21" s="76" t="s">
        <v>81</v>
      </c>
      <c r="B21" s="38">
        <v>4700</v>
      </c>
      <c r="C21" s="38">
        <v>4700</v>
      </c>
      <c r="D21" s="40">
        <v>0</v>
      </c>
      <c r="E21" s="38">
        <v>4600</v>
      </c>
      <c r="F21" s="38">
        <v>4700</v>
      </c>
      <c r="G21" s="40">
        <v>2.1739130434782608</v>
      </c>
    </row>
    <row r="22" spans="1:7" x14ac:dyDescent="0.3">
      <c r="A22" s="76" t="s">
        <v>82</v>
      </c>
      <c r="B22" s="38">
        <v>4900</v>
      </c>
      <c r="C22" s="38">
        <v>4700</v>
      </c>
      <c r="D22" s="40">
        <v>-4.0816326530612246</v>
      </c>
      <c r="E22" s="38">
        <v>4700</v>
      </c>
      <c r="F22" s="38">
        <v>4600</v>
      </c>
      <c r="G22" s="40">
        <v>-2.1276595744680851</v>
      </c>
    </row>
    <row r="23" spans="1:7" x14ac:dyDescent="0.3">
      <c r="A23" s="75" t="s">
        <v>83</v>
      </c>
      <c r="B23" s="38">
        <v>1200</v>
      </c>
      <c r="C23" s="38">
        <v>1300</v>
      </c>
      <c r="D23" s="40">
        <v>8.3333333333333321</v>
      </c>
      <c r="E23" s="38">
        <v>1200</v>
      </c>
      <c r="F23" s="38">
        <v>1200</v>
      </c>
      <c r="G23" s="40">
        <v>0</v>
      </c>
    </row>
    <row r="24" spans="1:7" x14ac:dyDescent="0.3">
      <c r="A24" s="75" t="s">
        <v>84</v>
      </c>
      <c r="B24" s="38">
        <v>5100</v>
      </c>
      <c r="C24" s="38">
        <v>5100</v>
      </c>
      <c r="D24" s="40">
        <v>0</v>
      </c>
      <c r="E24" s="38">
        <v>5200</v>
      </c>
      <c r="F24" s="38">
        <v>5100</v>
      </c>
      <c r="G24" s="40">
        <v>-1.9230769230769231</v>
      </c>
    </row>
    <row r="25" spans="1:7" x14ac:dyDescent="0.3">
      <c r="A25" s="76" t="s">
        <v>85</v>
      </c>
      <c r="B25" s="38">
        <v>600</v>
      </c>
      <c r="C25" s="38">
        <v>500</v>
      </c>
      <c r="D25" s="40">
        <v>-16.666666666666664</v>
      </c>
      <c r="E25" s="38">
        <v>600</v>
      </c>
      <c r="F25" s="38">
        <v>500</v>
      </c>
      <c r="G25" s="40">
        <v>-16.666666666666664</v>
      </c>
    </row>
    <row r="26" spans="1:7" x14ac:dyDescent="0.3">
      <c r="A26" s="76" t="s">
        <v>86</v>
      </c>
      <c r="B26" s="38">
        <v>3000</v>
      </c>
      <c r="C26" s="38">
        <v>3100</v>
      </c>
      <c r="D26" s="40">
        <v>3.3333333333333335</v>
      </c>
      <c r="E26" s="38">
        <v>3200</v>
      </c>
      <c r="F26" s="38">
        <v>3200</v>
      </c>
      <c r="G26" s="40">
        <v>0</v>
      </c>
    </row>
    <row r="27" spans="1:7" x14ac:dyDescent="0.3">
      <c r="A27" s="76" t="s">
        <v>87</v>
      </c>
      <c r="B27" s="38">
        <v>1500</v>
      </c>
      <c r="C27" s="38">
        <v>1500</v>
      </c>
      <c r="D27" s="40">
        <v>0</v>
      </c>
      <c r="E27" s="38">
        <v>1400</v>
      </c>
      <c r="F27" s="38">
        <v>1400</v>
      </c>
      <c r="G27" s="40">
        <v>0</v>
      </c>
    </row>
    <row r="28" spans="1:7" ht="14.4" customHeight="1" x14ac:dyDescent="0.3">
      <c r="A28" s="72" t="s">
        <v>138</v>
      </c>
      <c r="B28" s="96" t="s">
        <v>73</v>
      </c>
      <c r="C28" s="96" t="s">
        <v>73</v>
      </c>
      <c r="D28" s="74" t="s">
        <v>73</v>
      </c>
      <c r="E28" s="96" t="s">
        <v>73</v>
      </c>
      <c r="F28" s="96" t="s">
        <v>73</v>
      </c>
      <c r="G28" s="40" t="s">
        <v>73</v>
      </c>
    </row>
    <row r="29" spans="1:7" ht="27.6" customHeight="1" x14ac:dyDescent="0.3">
      <c r="A29" s="72" t="s">
        <v>125</v>
      </c>
      <c r="B29" s="96" t="s">
        <v>73</v>
      </c>
      <c r="C29" s="96" t="s">
        <v>73</v>
      </c>
      <c r="D29" s="74" t="s">
        <v>73</v>
      </c>
      <c r="E29" s="96" t="s">
        <v>73</v>
      </c>
      <c r="F29" s="96" t="s">
        <v>73</v>
      </c>
      <c r="G29" s="40" t="s">
        <v>73</v>
      </c>
    </row>
    <row r="30" spans="1:7" x14ac:dyDescent="0.3">
      <c r="A30" s="72" t="s">
        <v>126</v>
      </c>
      <c r="B30" s="96" t="s">
        <v>73</v>
      </c>
      <c r="C30" s="96" t="s">
        <v>73</v>
      </c>
      <c r="D30" s="74" t="s">
        <v>73</v>
      </c>
      <c r="E30" s="96" t="s">
        <v>73</v>
      </c>
      <c r="F30" s="96" t="s">
        <v>73</v>
      </c>
      <c r="G30" s="40" t="s">
        <v>73</v>
      </c>
    </row>
    <row r="31" spans="1:7" x14ac:dyDescent="0.3">
      <c r="A31" s="75" t="s">
        <v>127</v>
      </c>
      <c r="B31" s="96" t="s">
        <v>73</v>
      </c>
      <c r="C31" s="96" t="s">
        <v>73</v>
      </c>
      <c r="D31" s="74" t="s">
        <v>73</v>
      </c>
      <c r="E31" s="96" t="s">
        <v>73</v>
      </c>
      <c r="F31" s="96" t="s">
        <v>73</v>
      </c>
      <c r="G31" s="40" t="s">
        <v>73</v>
      </c>
    </row>
    <row r="32" spans="1:7" x14ac:dyDescent="0.3">
      <c r="A32" s="75" t="s">
        <v>128</v>
      </c>
      <c r="B32" s="96" t="s">
        <v>73</v>
      </c>
      <c r="C32" s="96" t="s">
        <v>73</v>
      </c>
      <c r="D32" s="74" t="s">
        <v>73</v>
      </c>
      <c r="E32" s="96" t="s">
        <v>73</v>
      </c>
      <c r="F32" s="96" t="s">
        <v>73</v>
      </c>
      <c r="G32" s="40" t="s">
        <v>73</v>
      </c>
    </row>
    <row r="33" spans="1:7" x14ac:dyDescent="0.3">
      <c r="A33" s="75" t="s">
        <v>129</v>
      </c>
      <c r="B33" s="96" t="s">
        <v>73</v>
      </c>
      <c r="C33" s="96" t="s">
        <v>73</v>
      </c>
      <c r="D33" s="74" t="s">
        <v>73</v>
      </c>
      <c r="E33" s="96" t="s">
        <v>73</v>
      </c>
      <c r="F33" s="96" t="s">
        <v>73</v>
      </c>
      <c r="G33" s="40" t="s">
        <v>73</v>
      </c>
    </row>
    <row r="34" spans="1:7" x14ac:dyDescent="0.3">
      <c r="A34" s="75" t="s">
        <v>130</v>
      </c>
      <c r="B34" s="96" t="s">
        <v>73</v>
      </c>
      <c r="C34" s="96" t="s">
        <v>73</v>
      </c>
      <c r="D34" s="74" t="s">
        <v>73</v>
      </c>
      <c r="E34" s="96" t="s">
        <v>73</v>
      </c>
      <c r="F34" s="96" t="s">
        <v>73</v>
      </c>
      <c r="G34" s="40" t="s">
        <v>73</v>
      </c>
    </row>
    <row r="35" spans="1:7" x14ac:dyDescent="0.3">
      <c r="A35" s="72" t="s">
        <v>131</v>
      </c>
      <c r="B35" s="96" t="s">
        <v>73</v>
      </c>
      <c r="C35" s="96" t="s">
        <v>73</v>
      </c>
      <c r="D35" s="74" t="s">
        <v>73</v>
      </c>
      <c r="E35" s="96" t="s">
        <v>73</v>
      </c>
      <c r="F35" s="96" t="s">
        <v>73</v>
      </c>
      <c r="G35" s="40" t="s">
        <v>73</v>
      </c>
    </row>
    <row r="36" spans="1:7" ht="13.95" customHeight="1" x14ac:dyDescent="0.3">
      <c r="A36" s="72" t="s">
        <v>139</v>
      </c>
      <c r="B36" s="107">
        <v>3594.22127</v>
      </c>
      <c r="C36" s="107">
        <v>3979.44</v>
      </c>
      <c r="D36" s="113">
        <v>10.717724398754116</v>
      </c>
      <c r="E36" s="107">
        <v>23271.634859999998</v>
      </c>
      <c r="F36" s="107">
        <v>24140.7575</v>
      </c>
      <c r="G36" s="113">
        <v>3.7346866484824242</v>
      </c>
    </row>
    <row r="37" spans="1:7" ht="31.95" customHeight="1" x14ac:dyDescent="0.3">
      <c r="A37" s="69" t="s">
        <v>98</v>
      </c>
      <c r="B37" s="38">
        <v>9599.1830000000009</v>
      </c>
      <c r="C37" s="38">
        <v>12713.594999999999</v>
      </c>
      <c r="D37" s="40">
        <v>32.444552833298395</v>
      </c>
      <c r="E37" s="38">
        <v>73611.994000000006</v>
      </c>
      <c r="F37" s="38">
        <v>76554.611999999994</v>
      </c>
      <c r="G37" s="40">
        <v>3.9974708469383233</v>
      </c>
    </row>
    <row r="38" spans="1:7" x14ac:dyDescent="0.3">
      <c r="A38" s="72" t="s">
        <v>99</v>
      </c>
      <c r="B38" s="38">
        <v>9599.1830000000009</v>
      </c>
      <c r="C38" s="38">
        <v>12713.594999999999</v>
      </c>
      <c r="D38" s="40">
        <v>32.444552833298395</v>
      </c>
      <c r="E38" s="38">
        <v>73611.994000000006</v>
      </c>
      <c r="F38" s="38">
        <v>76554.611999999994</v>
      </c>
      <c r="G38" s="40">
        <v>3.9974708469383233</v>
      </c>
    </row>
    <row r="39" spans="1:7" x14ac:dyDescent="0.3">
      <c r="A39" s="72" t="s">
        <v>100</v>
      </c>
      <c r="B39" s="96" t="s">
        <v>73</v>
      </c>
      <c r="C39" s="96" t="s">
        <v>73</v>
      </c>
      <c r="D39" s="74" t="s">
        <v>73</v>
      </c>
      <c r="E39" s="96" t="s">
        <v>73</v>
      </c>
      <c r="F39" s="96" t="s">
        <v>73</v>
      </c>
      <c r="G39" s="40" t="s">
        <v>73</v>
      </c>
    </row>
    <row r="40" spans="1:7" ht="15" customHeight="1" x14ac:dyDescent="0.3">
      <c r="A40" s="72" t="s">
        <v>101</v>
      </c>
      <c r="B40" s="96" t="s">
        <v>73</v>
      </c>
      <c r="C40" s="96" t="s">
        <v>73</v>
      </c>
      <c r="D40" s="74" t="s">
        <v>73</v>
      </c>
      <c r="E40" s="96" t="s">
        <v>73</v>
      </c>
      <c r="F40" s="96" t="s">
        <v>73</v>
      </c>
      <c r="G40" s="40" t="s">
        <v>73</v>
      </c>
    </row>
    <row r="41" spans="1:7" ht="28.2" customHeight="1" x14ac:dyDescent="0.3">
      <c r="A41" s="69" t="s">
        <v>102</v>
      </c>
      <c r="B41" s="38">
        <v>34</v>
      </c>
      <c r="C41" s="38">
        <v>35</v>
      </c>
      <c r="D41" s="40">
        <v>2.9411764705882351</v>
      </c>
      <c r="E41" s="38">
        <v>233</v>
      </c>
      <c r="F41" s="38">
        <v>210</v>
      </c>
      <c r="G41" s="40">
        <v>-9.8712446351931327</v>
      </c>
    </row>
    <row r="42" spans="1:7" x14ac:dyDescent="0.3">
      <c r="A42" s="72" t="s">
        <v>103</v>
      </c>
      <c r="B42" s="38">
        <v>1212500</v>
      </c>
      <c r="C42" s="38">
        <v>1195000</v>
      </c>
      <c r="D42" s="40">
        <v>-1.4432989690721649</v>
      </c>
      <c r="E42" s="38">
        <v>1175000</v>
      </c>
      <c r="F42" s="38">
        <v>1300000</v>
      </c>
      <c r="G42" s="40">
        <v>10.638297872340425</v>
      </c>
    </row>
    <row r="43" spans="1:7" x14ac:dyDescent="0.3">
      <c r="A43" s="72" t="s">
        <v>104</v>
      </c>
      <c r="B43" s="96" t="s">
        <v>73</v>
      </c>
      <c r="C43" s="96" t="s">
        <v>73</v>
      </c>
      <c r="D43" s="74" t="s">
        <v>73</v>
      </c>
      <c r="E43" s="96" t="s">
        <v>73</v>
      </c>
      <c r="F43" s="96" t="s">
        <v>73</v>
      </c>
      <c r="G43" s="40" t="s">
        <v>73</v>
      </c>
    </row>
    <row r="44" spans="1:7" x14ac:dyDescent="0.3">
      <c r="A44" s="69" t="s">
        <v>105</v>
      </c>
      <c r="B44" s="38">
        <v>20</v>
      </c>
      <c r="C44" s="38">
        <v>18</v>
      </c>
      <c r="D44" s="40">
        <v>-10</v>
      </c>
      <c r="E44" s="38">
        <v>177</v>
      </c>
      <c r="F44" s="38">
        <v>137</v>
      </c>
      <c r="G44" s="40">
        <v>-22.598870056497177</v>
      </c>
    </row>
    <row r="45" spans="1:7" x14ac:dyDescent="0.3">
      <c r="A45" s="72" t="s">
        <v>106</v>
      </c>
      <c r="B45" s="38">
        <v>795000</v>
      </c>
      <c r="C45" s="38">
        <v>901938</v>
      </c>
      <c r="D45" s="40">
        <v>13.451320754716981</v>
      </c>
      <c r="E45" s="38">
        <v>831000</v>
      </c>
      <c r="F45" s="38">
        <v>845000</v>
      </c>
      <c r="G45" s="40">
        <v>1.684717208182912</v>
      </c>
    </row>
    <row r="46" spans="1:7" ht="13.2" customHeight="1" x14ac:dyDescent="0.3">
      <c r="A46" s="72" t="s">
        <v>104</v>
      </c>
      <c r="B46" s="96" t="s">
        <v>73</v>
      </c>
      <c r="C46" s="96" t="s">
        <v>73</v>
      </c>
      <c r="D46" s="74" t="s">
        <v>73</v>
      </c>
      <c r="E46" s="96" t="s">
        <v>73</v>
      </c>
      <c r="F46" s="96" t="s">
        <v>73</v>
      </c>
      <c r="G46" s="40" t="s">
        <v>73</v>
      </c>
    </row>
    <row r="47" spans="1:7" ht="26.4" customHeight="1" x14ac:dyDescent="0.3">
      <c r="A47" s="73" t="s">
        <v>107</v>
      </c>
      <c r="B47" s="38">
        <v>1037222.4267118498</v>
      </c>
      <c r="C47" s="38">
        <v>871010.39201799314</v>
      </c>
      <c r="D47" s="40">
        <v>-16.024724341988403</v>
      </c>
      <c r="E47" s="38">
        <v>6303762.1060030805</v>
      </c>
      <c r="F47" s="38">
        <v>5473064.9399890061</v>
      </c>
      <c r="G47" s="40">
        <v>-13.177800050909289</v>
      </c>
    </row>
    <row r="48" spans="1:7" x14ac:dyDescent="0.3">
      <c r="A48" s="72" t="s">
        <v>108</v>
      </c>
      <c r="B48" s="38">
        <v>1002076.1000741497</v>
      </c>
      <c r="C48" s="38">
        <v>853705.71866216976</v>
      </c>
      <c r="D48" s="40">
        <v>-14.806298783196315</v>
      </c>
      <c r="E48" s="38">
        <v>6045636.1138777714</v>
      </c>
      <c r="F48" s="38">
        <v>5265254.9275001828</v>
      </c>
      <c r="G48" s="40">
        <v>-12.908173295217388</v>
      </c>
    </row>
    <row r="49" spans="1:7" x14ac:dyDescent="0.3">
      <c r="A49" s="72" t="s">
        <v>109</v>
      </c>
      <c r="B49" s="38">
        <v>35146.326637700076</v>
      </c>
      <c r="C49" s="38">
        <v>17304.673355823397</v>
      </c>
      <c r="D49" s="40">
        <v>-50.763920411354292</v>
      </c>
      <c r="E49" s="38">
        <v>258125.99212530849</v>
      </c>
      <c r="F49" s="38">
        <v>207810.01248882397</v>
      </c>
      <c r="G49" s="40">
        <v>-19.492798544696107</v>
      </c>
    </row>
    <row r="50" spans="1:7" x14ac:dyDescent="0.3">
      <c r="A50" s="69" t="s">
        <v>110</v>
      </c>
      <c r="B50" s="38">
        <v>141514.11305244389</v>
      </c>
      <c r="C50" s="38">
        <v>139974.19755495514</v>
      </c>
      <c r="D50" s="40">
        <v>-1.0881709705646605</v>
      </c>
      <c r="E50" s="38">
        <v>849003.79960232461</v>
      </c>
      <c r="F50" s="38">
        <v>873086.2540730628</v>
      </c>
      <c r="G50" s="40">
        <v>2.8365543807952878</v>
      </c>
    </row>
    <row r="51" spans="1:7" x14ac:dyDescent="0.3">
      <c r="A51" s="72" t="s">
        <v>111</v>
      </c>
      <c r="B51" s="38">
        <v>131536.86563491827</v>
      </c>
      <c r="C51" s="38">
        <v>134330.7715671685</v>
      </c>
      <c r="D51" s="40">
        <v>2.1240478239801908</v>
      </c>
      <c r="E51" s="38">
        <v>794678.77209645091</v>
      </c>
      <c r="F51" s="38">
        <v>826434.39120555576</v>
      </c>
      <c r="G51" s="40">
        <v>3.9960321357685196</v>
      </c>
    </row>
    <row r="52" spans="1:7" ht="15" customHeight="1" x14ac:dyDescent="0.3">
      <c r="A52" s="72" t="s">
        <v>112</v>
      </c>
      <c r="B52" s="38">
        <v>9977.2474175256102</v>
      </c>
      <c r="C52" s="38">
        <v>5643.4259877867298</v>
      </c>
      <c r="D52" s="40">
        <v>-43.437044791795714</v>
      </c>
      <c r="E52" s="38">
        <v>54325.027505873513</v>
      </c>
      <c r="F52" s="38">
        <v>46651.862867505421</v>
      </c>
      <c r="G52" s="40">
        <v>-14.124548096249899</v>
      </c>
    </row>
    <row r="53" spans="1:7" x14ac:dyDescent="0.3">
      <c r="A53" s="77" t="s">
        <v>113</v>
      </c>
      <c r="B53" s="78">
        <v>281779.54046249035</v>
      </c>
      <c r="C53" s="78">
        <v>284188.33536938316</v>
      </c>
      <c r="D53" s="79">
        <v>0.8548508890813048</v>
      </c>
      <c r="E53" s="78">
        <v>1729707.8878968074</v>
      </c>
      <c r="F53" s="78">
        <v>1764244.0795362608</v>
      </c>
      <c r="G53" s="79">
        <v>1.9966487914584683</v>
      </c>
    </row>
    <row r="54" spans="1:7" ht="30" customHeight="1" x14ac:dyDescent="0.3">
      <c r="A54" s="112" t="s">
        <v>114</v>
      </c>
      <c r="B54" s="105"/>
      <c r="C54" s="105"/>
      <c r="D54" s="106"/>
      <c r="E54" s="105"/>
      <c r="F54" s="105"/>
      <c r="G54" s="106"/>
    </row>
    <row r="55" spans="1:7" ht="12.75" customHeight="1" x14ac:dyDescent="0.3">
      <c r="A55" s="111" t="s">
        <v>63</v>
      </c>
      <c r="B55" s="53"/>
      <c r="C55" s="53"/>
      <c r="D55" s="53"/>
      <c r="E55" s="80"/>
      <c r="F55" s="51"/>
      <c r="G55" s="53"/>
    </row>
    <row r="56" spans="1:7" x14ac:dyDescent="0.3">
      <c r="A56" s="111" t="s">
        <v>64</v>
      </c>
      <c r="B56" s="53"/>
      <c r="C56" s="53"/>
      <c r="D56" s="53"/>
      <c r="E56" s="80"/>
      <c r="F56" s="51"/>
      <c r="G56" s="53"/>
    </row>
    <row r="57" spans="1:7" x14ac:dyDescent="0.3">
      <c r="A57" s="111" t="s">
        <v>115</v>
      </c>
      <c r="B57" s="56"/>
      <c r="C57" s="56"/>
      <c r="D57" s="56"/>
      <c r="E57" s="81"/>
      <c r="F57" s="55"/>
      <c r="G57" s="56"/>
    </row>
    <row r="58" spans="1:7" x14ac:dyDescent="0.3">
      <c r="A58" s="111" t="s">
        <v>116</v>
      </c>
      <c r="B58" s="53"/>
      <c r="C58" s="53"/>
      <c r="D58" s="53"/>
      <c r="E58" s="80"/>
      <c r="F58" s="51"/>
      <c r="G58" s="53"/>
    </row>
    <row r="59" spans="1:7" x14ac:dyDescent="0.3">
      <c r="A59" s="111" t="s">
        <v>117</v>
      </c>
      <c r="B59" s="53"/>
      <c r="C59" s="53"/>
      <c r="D59" s="53"/>
      <c r="E59" s="80"/>
      <c r="F59" s="51"/>
      <c r="G59" s="53"/>
    </row>
    <row r="60" spans="1:7" x14ac:dyDescent="0.3">
      <c r="A60" s="111" t="s">
        <v>118</v>
      </c>
      <c r="B60" s="53"/>
      <c r="C60" s="53"/>
      <c r="D60" s="53"/>
      <c r="E60" s="80"/>
      <c r="F60" s="51"/>
      <c r="G60" s="52"/>
    </row>
    <row r="61" spans="1:7" x14ac:dyDescent="0.3">
      <c r="A61" s="111" t="s">
        <v>119</v>
      </c>
      <c r="B61" s="53"/>
      <c r="C61" s="53"/>
      <c r="D61" s="53"/>
      <c r="E61" s="80"/>
      <c r="F61" s="51"/>
      <c r="G61" s="53"/>
    </row>
    <row r="62" spans="1:7" x14ac:dyDescent="0.3">
      <c r="A62" s="111" t="s">
        <v>120</v>
      </c>
      <c r="B62" s="53"/>
      <c r="C62" s="53"/>
      <c r="D62" s="53"/>
      <c r="E62" s="80"/>
      <c r="F62" s="51"/>
      <c r="G62" s="53"/>
    </row>
    <row r="63" spans="1:7" x14ac:dyDescent="0.3">
      <c r="A63" s="111" t="s">
        <v>121</v>
      </c>
      <c r="B63" s="53"/>
      <c r="C63" s="53"/>
      <c r="D63" s="53"/>
      <c r="E63" s="80"/>
      <c r="F63" s="51"/>
      <c r="G63" s="98"/>
    </row>
    <row r="64" spans="1:7" x14ac:dyDescent="0.3">
      <c r="A64" s="111" t="s">
        <v>122</v>
      </c>
      <c r="B64" s="51"/>
      <c r="C64" s="51"/>
      <c r="D64" s="52"/>
      <c r="E64" s="50"/>
      <c r="F64" s="51"/>
      <c r="G64" s="53"/>
    </row>
    <row r="65" spans="1:1" x14ac:dyDescent="0.3">
      <c r="A65" s="111" t="s">
        <v>123</v>
      </c>
    </row>
  </sheetData>
  <printOptions horizontalCentered="1"/>
  <pageMargins left="0.7" right="0.7" top="0.75" bottom="0.75" header="0.3" footer="0.3"/>
  <pageSetup scale="64" orientation="portrait" r:id="rId1"/>
  <headerFooter alignWithMargins="0">
    <oddFooter>&amp;LDBEDT Monthly Economic Indicators&amp;Rhttp://dbedt.hawaii.gov/economic/mei/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H49"/>
  <sheetViews>
    <sheetView zoomScale="85" zoomScaleNormal="85" workbookViewId="0"/>
  </sheetViews>
  <sheetFormatPr defaultColWidth="9.109375" defaultRowHeight="15.6" x14ac:dyDescent="0.3"/>
  <cols>
    <col min="1" max="1" width="17.33203125" style="27" customWidth="1"/>
    <col min="2" max="2" width="42.88671875" style="57" customWidth="1"/>
    <col min="3" max="4" width="14" style="58" customWidth="1"/>
    <col min="5" max="5" width="14" style="59" customWidth="1"/>
    <col min="6" max="6" width="18.6640625" style="27" customWidth="1"/>
    <col min="7" max="7" width="18.6640625" style="58" customWidth="1"/>
    <col min="8" max="8" width="15.6640625" style="60" customWidth="1"/>
    <col min="9" max="16384" width="9.109375" style="27"/>
  </cols>
  <sheetData>
    <row r="1" spans="1:8" ht="17.399999999999999" customHeight="1" x14ac:dyDescent="0.3">
      <c r="A1" s="17" t="s">
        <v>164</v>
      </c>
      <c r="B1" s="26"/>
      <c r="C1" s="18"/>
      <c r="D1" s="18"/>
      <c r="E1" s="19"/>
      <c r="F1" s="20"/>
      <c r="G1" s="21"/>
      <c r="H1" s="100"/>
    </row>
    <row r="2" spans="1:8" ht="32.4" customHeight="1" x14ac:dyDescent="0.3">
      <c r="A2" s="22" t="s">
        <v>159</v>
      </c>
      <c r="B2" s="28"/>
      <c r="C2" s="22"/>
      <c r="D2" s="22"/>
      <c r="E2" s="23"/>
      <c r="F2" s="24"/>
      <c r="G2" s="25"/>
      <c r="H2" s="23"/>
    </row>
    <row r="3" spans="1:8" ht="63" customHeight="1" x14ac:dyDescent="0.3">
      <c r="A3" s="29" t="s">
        <v>140</v>
      </c>
      <c r="B3" s="30" t="s">
        <v>67</v>
      </c>
      <c r="C3" s="31" t="s">
        <v>156</v>
      </c>
      <c r="D3" s="31" t="s">
        <v>154</v>
      </c>
      <c r="E3" s="32" t="s">
        <v>18</v>
      </c>
      <c r="F3" s="33" t="s">
        <v>141</v>
      </c>
      <c r="G3" s="34" t="s">
        <v>158</v>
      </c>
      <c r="H3" s="35" t="s">
        <v>142</v>
      </c>
    </row>
    <row r="4" spans="1:8" x14ac:dyDescent="0.3">
      <c r="A4" s="87" t="s">
        <v>4</v>
      </c>
      <c r="B4" s="36" t="s">
        <v>143</v>
      </c>
      <c r="C4" s="37">
        <v>755000.26599999995</v>
      </c>
      <c r="D4" s="38" t="s">
        <v>73</v>
      </c>
      <c r="E4" s="40" t="s">
        <v>73</v>
      </c>
      <c r="F4" s="38">
        <v>755000.26599999995</v>
      </c>
      <c r="G4" s="42" t="s">
        <v>73</v>
      </c>
      <c r="H4" s="43" t="s">
        <v>73</v>
      </c>
    </row>
    <row r="5" spans="1:8" x14ac:dyDescent="0.3">
      <c r="A5" s="87" t="s">
        <v>4</v>
      </c>
      <c r="B5" s="36" t="s">
        <v>144</v>
      </c>
      <c r="C5" s="37">
        <v>431543.13500000001</v>
      </c>
      <c r="D5" s="37">
        <v>463441.83899999998</v>
      </c>
      <c r="E5" s="39">
        <v>7.3917764906629717</v>
      </c>
      <c r="F5" s="38">
        <v>431543.13500000001</v>
      </c>
      <c r="G5" s="38">
        <v>463441.83899999998</v>
      </c>
      <c r="H5" s="40">
        <v>7.3917764906629717</v>
      </c>
    </row>
    <row r="6" spans="1:8" x14ac:dyDescent="0.3">
      <c r="A6" s="87" t="s">
        <v>4</v>
      </c>
      <c r="B6" s="36" t="s">
        <v>145</v>
      </c>
      <c r="C6" s="37">
        <v>348930.07500000001</v>
      </c>
      <c r="D6" s="37">
        <v>332493.07527999999</v>
      </c>
      <c r="E6" s="39">
        <v>-4.7106858644959226</v>
      </c>
      <c r="F6" s="38">
        <v>348930.07500000001</v>
      </c>
      <c r="G6" s="38">
        <v>332493.07527999999</v>
      </c>
      <c r="H6" s="40">
        <v>-4.7106858644959226</v>
      </c>
    </row>
    <row r="7" spans="1:8" x14ac:dyDescent="0.3">
      <c r="A7" s="87" t="s">
        <v>4</v>
      </c>
      <c r="B7" s="36" t="s">
        <v>146</v>
      </c>
      <c r="C7" s="37">
        <v>162125.49600000001</v>
      </c>
      <c r="D7" s="37">
        <v>148372.97303999998</v>
      </c>
      <c r="E7" s="39">
        <v>-8.4826404848747714</v>
      </c>
      <c r="F7" s="38">
        <v>162125.49600000001</v>
      </c>
      <c r="G7" s="38">
        <v>148372.97303999998</v>
      </c>
      <c r="H7" s="40">
        <v>-8.4826404848747714</v>
      </c>
    </row>
    <row r="8" spans="1:8" x14ac:dyDescent="0.3">
      <c r="A8" s="87" t="s">
        <v>4</v>
      </c>
      <c r="B8" s="36" t="s">
        <v>147</v>
      </c>
      <c r="C8" s="37">
        <v>7188.7359999999999</v>
      </c>
      <c r="D8" s="37">
        <v>6652.0847300000005</v>
      </c>
      <c r="E8" s="39">
        <v>-7.4651687028150633</v>
      </c>
      <c r="F8" s="38">
        <v>7188.7359999999999</v>
      </c>
      <c r="G8" s="38">
        <v>6652.0847300000005</v>
      </c>
      <c r="H8" s="40">
        <v>-7.4651687028150633</v>
      </c>
    </row>
    <row r="9" spans="1:8" x14ac:dyDescent="0.3">
      <c r="A9" s="87" t="s">
        <v>4</v>
      </c>
      <c r="B9" s="36" t="s">
        <v>148</v>
      </c>
      <c r="C9" s="37">
        <v>217290.78</v>
      </c>
      <c r="D9" s="37">
        <v>195301.87333</v>
      </c>
      <c r="E9" s="39">
        <v>-10.119576481800101</v>
      </c>
      <c r="F9" s="38">
        <v>217290.78</v>
      </c>
      <c r="G9" s="38">
        <v>195301.87333</v>
      </c>
      <c r="H9" s="40">
        <v>-10.119576481800101</v>
      </c>
    </row>
    <row r="10" spans="1:8" x14ac:dyDescent="0.3">
      <c r="A10" s="87" t="s">
        <v>4</v>
      </c>
      <c r="B10" s="36" t="s">
        <v>149</v>
      </c>
      <c r="C10" s="37">
        <v>236125.245</v>
      </c>
      <c r="D10" s="37">
        <v>208357.046</v>
      </c>
      <c r="E10" s="39">
        <v>-11.75994502409092</v>
      </c>
      <c r="F10" s="38">
        <v>236125.245</v>
      </c>
      <c r="G10" s="38">
        <v>208357.046</v>
      </c>
      <c r="H10" s="40">
        <v>-11.75994502409092</v>
      </c>
    </row>
    <row r="11" spans="1:8" x14ac:dyDescent="0.3">
      <c r="A11" s="87" t="s">
        <v>4</v>
      </c>
      <c r="B11" s="41" t="s">
        <v>150</v>
      </c>
      <c r="C11" s="37">
        <v>74454.546000000002</v>
      </c>
      <c r="D11" s="37">
        <v>85506.664000000004</v>
      </c>
      <c r="E11" s="39">
        <v>14.84411442116644</v>
      </c>
      <c r="F11" s="38">
        <v>74454.546000000002</v>
      </c>
      <c r="G11" s="38">
        <v>85506.664000000004</v>
      </c>
      <c r="H11" s="40">
        <v>14.84411442116644</v>
      </c>
    </row>
    <row r="12" spans="1:8" ht="15.6" customHeight="1" x14ac:dyDescent="0.3">
      <c r="A12" s="87" t="s">
        <v>4</v>
      </c>
      <c r="B12" s="41" t="s">
        <v>151</v>
      </c>
      <c r="C12" s="37">
        <v>51730.288</v>
      </c>
      <c r="D12" s="37">
        <v>55917.589</v>
      </c>
      <c r="E12" s="39">
        <v>8.0944861548035441</v>
      </c>
      <c r="F12" s="38">
        <v>51730.288</v>
      </c>
      <c r="G12" s="38">
        <v>55917.589</v>
      </c>
      <c r="H12" s="40">
        <v>8.0944861548035441</v>
      </c>
    </row>
    <row r="13" spans="1:8" ht="28.95" customHeight="1" x14ac:dyDescent="0.3">
      <c r="A13" s="87" t="s">
        <v>6</v>
      </c>
      <c r="B13" s="36" t="s">
        <v>144</v>
      </c>
      <c r="C13" s="42" t="s">
        <v>73</v>
      </c>
      <c r="D13" s="42" t="s">
        <v>73</v>
      </c>
      <c r="E13" s="42" t="s">
        <v>73</v>
      </c>
      <c r="F13" s="42" t="s">
        <v>73</v>
      </c>
      <c r="G13" s="42" t="s">
        <v>73</v>
      </c>
      <c r="H13" s="43" t="s">
        <v>73</v>
      </c>
    </row>
    <row r="14" spans="1:8" x14ac:dyDescent="0.3">
      <c r="A14" s="87" t="s">
        <v>6</v>
      </c>
      <c r="B14" s="36" t="s">
        <v>145</v>
      </c>
      <c r="C14" s="42" t="s">
        <v>73</v>
      </c>
      <c r="D14" s="42" t="s">
        <v>73</v>
      </c>
      <c r="E14" s="42" t="s">
        <v>73</v>
      </c>
      <c r="F14" s="42" t="s">
        <v>73</v>
      </c>
      <c r="G14" s="42" t="s">
        <v>73</v>
      </c>
      <c r="H14" s="43" t="s">
        <v>73</v>
      </c>
    </row>
    <row r="15" spans="1:8" x14ac:dyDescent="0.3">
      <c r="A15" s="87" t="s">
        <v>6</v>
      </c>
      <c r="B15" s="36" t="s">
        <v>146</v>
      </c>
      <c r="C15" s="42" t="s">
        <v>73</v>
      </c>
      <c r="D15" s="42" t="s">
        <v>73</v>
      </c>
      <c r="E15" s="42" t="s">
        <v>73</v>
      </c>
      <c r="F15" s="42" t="s">
        <v>73</v>
      </c>
      <c r="G15" s="42" t="s">
        <v>73</v>
      </c>
      <c r="H15" s="43" t="s">
        <v>73</v>
      </c>
    </row>
    <row r="16" spans="1:8" x14ac:dyDescent="0.3">
      <c r="A16" s="87" t="s">
        <v>6</v>
      </c>
      <c r="B16" s="36" t="s">
        <v>147</v>
      </c>
      <c r="C16" s="42" t="s">
        <v>73</v>
      </c>
      <c r="D16" s="42" t="s">
        <v>73</v>
      </c>
      <c r="E16" s="42" t="s">
        <v>73</v>
      </c>
      <c r="F16" s="42" t="s">
        <v>73</v>
      </c>
      <c r="G16" s="42" t="s">
        <v>73</v>
      </c>
      <c r="H16" s="43" t="s">
        <v>73</v>
      </c>
    </row>
    <row r="17" spans="1:8" x14ac:dyDescent="0.3">
      <c r="A17" s="87" t="s">
        <v>6</v>
      </c>
      <c r="B17" s="36" t="s">
        <v>148</v>
      </c>
      <c r="C17" s="42" t="s">
        <v>73</v>
      </c>
      <c r="D17" s="42" t="s">
        <v>73</v>
      </c>
      <c r="E17" s="42" t="s">
        <v>73</v>
      </c>
      <c r="F17" s="42" t="s">
        <v>73</v>
      </c>
      <c r="G17" s="42" t="s">
        <v>73</v>
      </c>
      <c r="H17" s="43" t="s">
        <v>73</v>
      </c>
    </row>
    <row r="18" spans="1:8" x14ac:dyDescent="0.3">
      <c r="A18" s="87" t="s">
        <v>6</v>
      </c>
      <c r="B18" s="36" t="s">
        <v>149</v>
      </c>
      <c r="C18" s="42" t="s">
        <v>73</v>
      </c>
      <c r="D18" s="42" t="s">
        <v>73</v>
      </c>
      <c r="E18" s="42" t="s">
        <v>73</v>
      </c>
      <c r="F18" s="42" t="s">
        <v>73</v>
      </c>
      <c r="G18" s="42" t="s">
        <v>73</v>
      </c>
      <c r="H18" s="43" t="s">
        <v>73</v>
      </c>
    </row>
    <row r="19" spans="1:8" x14ac:dyDescent="0.3">
      <c r="A19" s="87" t="s">
        <v>6</v>
      </c>
      <c r="B19" s="41" t="s">
        <v>150</v>
      </c>
      <c r="C19" s="42" t="s">
        <v>73</v>
      </c>
      <c r="D19" s="42" t="s">
        <v>73</v>
      </c>
      <c r="E19" s="42" t="s">
        <v>73</v>
      </c>
      <c r="F19" s="42" t="s">
        <v>73</v>
      </c>
      <c r="G19" s="42" t="s">
        <v>73</v>
      </c>
      <c r="H19" s="43" t="s">
        <v>73</v>
      </c>
    </row>
    <row r="20" spans="1:8" ht="13.95" customHeight="1" x14ac:dyDescent="0.3">
      <c r="A20" s="87" t="s">
        <v>6</v>
      </c>
      <c r="B20" s="41" t="s">
        <v>151</v>
      </c>
      <c r="C20" s="37">
        <v>33384.8295</v>
      </c>
      <c r="D20" s="37">
        <v>35738.050000000003</v>
      </c>
      <c r="E20" s="39">
        <v>7.0487719579337762</v>
      </c>
      <c r="F20" s="37">
        <v>33384.8295</v>
      </c>
      <c r="G20" s="37">
        <v>340048.45087999996</v>
      </c>
      <c r="H20" s="40">
        <v>918.57177638124517</v>
      </c>
    </row>
    <row r="21" spans="1:8" ht="28.95" customHeight="1" x14ac:dyDescent="0.3">
      <c r="A21" s="87" t="s">
        <v>152</v>
      </c>
      <c r="B21" s="36" t="s">
        <v>144</v>
      </c>
      <c r="C21" s="42" t="s">
        <v>73</v>
      </c>
      <c r="D21" s="42" t="s">
        <v>73</v>
      </c>
      <c r="E21" s="42" t="s">
        <v>73</v>
      </c>
      <c r="F21" s="42" t="s">
        <v>73</v>
      </c>
      <c r="G21" s="42" t="s">
        <v>73</v>
      </c>
      <c r="H21" s="43" t="s">
        <v>73</v>
      </c>
    </row>
    <row r="22" spans="1:8" x14ac:dyDescent="0.3">
      <c r="A22" s="87" t="s">
        <v>152</v>
      </c>
      <c r="B22" s="36" t="s">
        <v>145</v>
      </c>
      <c r="C22" s="42" t="s">
        <v>73</v>
      </c>
      <c r="D22" s="42" t="s">
        <v>73</v>
      </c>
      <c r="E22" s="42" t="s">
        <v>73</v>
      </c>
      <c r="F22" s="42" t="s">
        <v>73</v>
      </c>
      <c r="G22" s="42" t="s">
        <v>73</v>
      </c>
      <c r="H22" s="43" t="s">
        <v>73</v>
      </c>
    </row>
    <row r="23" spans="1:8" x14ac:dyDescent="0.3">
      <c r="A23" s="87" t="s">
        <v>152</v>
      </c>
      <c r="B23" s="36" t="s">
        <v>146</v>
      </c>
      <c r="C23" s="42" t="s">
        <v>73</v>
      </c>
      <c r="D23" s="42" t="s">
        <v>73</v>
      </c>
      <c r="E23" s="42" t="s">
        <v>73</v>
      </c>
      <c r="F23" s="42" t="s">
        <v>73</v>
      </c>
      <c r="G23" s="42" t="s">
        <v>73</v>
      </c>
      <c r="H23" s="43" t="s">
        <v>73</v>
      </c>
    </row>
    <row r="24" spans="1:8" x14ac:dyDescent="0.3">
      <c r="A24" s="87" t="s">
        <v>152</v>
      </c>
      <c r="B24" s="36" t="s">
        <v>147</v>
      </c>
      <c r="C24" s="42" t="s">
        <v>73</v>
      </c>
      <c r="D24" s="42" t="s">
        <v>73</v>
      </c>
      <c r="E24" s="42" t="s">
        <v>73</v>
      </c>
      <c r="F24" s="42" t="s">
        <v>73</v>
      </c>
      <c r="G24" s="42" t="s">
        <v>73</v>
      </c>
      <c r="H24" s="43" t="s">
        <v>73</v>
      </c>
    </row>
    <row r="25" spans="1:8" x14ac:dyDescent="0.3">
      <c r="A25" s="87" t="s">
        <v>152</v>
      </c>
      <c r="B25" s="36" t="s">
        <v>148</v>
      </c>
      <c r="C25" s="42" t="s">
        <v>73</v>
      </c>
      <c r="D25" s="42" t="s">
        <v>73</v>
      </c>
      <c r="E25" s="42" t="s">
        <v>73</v>
      </c>
      <c r="F25" s="42" t="s">
        <v>73</v>
      </c>
      <c r="G25" s="42" t="s">
        <v>73</v>
      </c>
      <c r="H25" s="43" t="s">
        <v>73</v>
      </c>
    </row>
    <row r="26" spans="1:8" x14ac:dyDescent="0.3">
      <c r="A26" s="87" t="s">
        <v>152</v>
      </c>
      <c r="B26" s="36" t="s">
        <v>149</v>
      </c>
      <c r="C26" s="42" t="s">
        <v>73</v>
      </c>
      <c r="D26" s="42" t="s">
        <v>73</v>
      </c>
      <c r="E26" s="42" t="s">
        <v>73</v>
      </c>
      <c r="F26" s="42" t="s">
        <v>73</v>
      </c>
      <c r="G26" s="42" t="s">
        <v>73</v>
      </c>
      <c r="H26" s="43" t="s">
        <v>73</v>
      </c>
    </row>
    <row r="27" spans="1:8" x14ac:dyDescent="0.3">
      <c r="A27" s="87" t="s">
        <v>152</v>
      </c>
      <c r="B27" s="41" t="s">
        <v>150</v>
      </c>
      <c r="C27" s="42" t="s">
        <v>73</v>
      </c>
      <c r="D27" s="42" t="s">
        <v>73</v>
      </c>
      <c r="E27" s="42" t="s">
        <v>73</v>
      </c>
      <c r="F27" s="42" t="s">
        <v>73</v>
      </c>
      <c r="G27" s="42" t="s">
        <v>73</v>
      </c>
      <c r="H27" s="43" t="s">
        <v>73</v>
      </c>
    </row>
    <row r="28" spans="1:8" ht="14.4" customHeight="1" x14ac:dyDescent="0.3">
      <c r="A28" s="99" t="s">
        <v>152</v>
      </c>
      <c r="B28" s="41" t="s">
        <v>151</v>
      </c>
      <c r="C28" s="44">
        <v>33384.8295</v>
      </c>
      <c r="D28" s="44">
        <v>7506.0219999999999</v>
      </c>
      <c r="E28" s="45">
        <v>-77.516668162106384</v>
      </c>
      <c r="F28" s="44">
        <v>7002.4426100000001</v>
      </c>
      <c r="G28" s="44">
        <v>73380.941309999995</v>
      </c>
      <c r="H28" s="40">
        <v>947.93349116787681</v>
      </c>
    </row>
    <row r="29" spans="1:8" ht="28.2" customHeight="1" x14ac:dyDescent="0.3">
      <c r="A29" s="87" t="s">
        <v>10</v>
      </c>
      <c r="B29" s="36" t="s">
        <v>144</v>
      </c>
      <c r="C29" s="42" t="s">
        <v>73</v>
      </c>
      <c r="D29" s="42" t="s">
        <v>73</v>
      </c>
      <c r="E29" s="42" t="s">
        <v>73</v>
      </c>
      <c r="F29" s="42" t="s">
        <v>73</v>
      </c>
      <c r="G29" s="42" t="s">
        <v>73</v>
      </c>
      <c r="H29" s="43" t="s">
        <v>73</v>
      </c>
    </row>
    <row r="30" spans="1:8" x14ac:dyDescent="0.3">
      <c r="A30" s="87" t="s">
        <v>10</v>
      </c>
      <c r="B30" s="36" t="s">
        <v>145</v>
      </c>
      <c r="C30" s="42" t="s">
        <v>73</v>
      </c>
      <c r="D30" s="42" t="s">
        <v>73</v>
      </c>
      <c r="E30" s="42" t="s">
        <v>73</v>
      </c>
      <c r="F30" s="42" t="s">
        <v>73</v>
      </c>
      <c r="G30" s="42" t="s">
        <v>73</v>
      </c>
      <c r="H30" s="43" t="s">
        <v>73</v>
      </c>
    </row>
    <row r="31" spans="1:8" x14ac:dyDescent="0.3">
      <c r="A31" s="87" t="s">
        <v>10</v>
      </c>
      <c r="B31" s="36" t="s">
        <v>146</v>
      </c>
      <c r="C31" s="42" t="s">
        <v>73</v>
      </c>
      <c r="D31" s="42" t="s">
        <v>73</v>
      </c>
      <c r="E31" s="42" t="s">
        <v>73</v>
      </c>
      <c r="F31" s="42" t="s">
        <v>73</v>
      </c>
      <c r="G31" s="42" t="s">
        <v>73</v>
      </c>
      <c r="H31" s="43" t="s">
        <v>73</v>
      </c>
    </row>
    <row r="32" spans="1:8" x14ac:dyDescent="0.3">
      <c r="A32" s="87" t="s">
        <v>10</v>
      </c>
      <c r="B32" s="36" t="s">
        <v>147</v>
      </c>
      <c r="C32" s="42" t="s">
        <v>73</v>
      </c>
      <c r="D32" s="42" t="s">
        <v>73</v>
      </c>
      <c r="E32" s="42" t="s">
        <v>73</v>
      </c>
      <c r="F32" s="42" t="s">
        <v>73</v>
      </c>
      <c r="G32" s="42" t="s">
        <v>73</v>
      </c>
      <c r="H32" s="43" t="s">
        <v>73</v>
      </c>
    </row>
    <row r="33" spans="1:8" x14ac:dyDescent="0.3">
      <c r="A33" s="87" t="s">
        <v>10</v>
      </c>
      <c r="B33" s="36" t="s">
        <v>148</v>
      </c>
      <c r="C33" s="42" t="s">
        <v>73</v>
      </c>
      <c r="D33" s="42" t="s">
        <v>73</v>
      </c>
      <c r="E33" s="42" t="s">
        <v>73</v>
      </c>
      <c r="F33" s="42" t="s">
        <v>73</v>
      </c>
      <c r="G33" s="42" t="s">
        <v>73</v>
      </c>
      <c r="H33" s="43" t="s">
        <v>73</v>
      </c>
    </row>
    <row r="34" spans="1:8" x14ac:dyDescent="0.3">
      <c r="A34" s="87" t="s">
        <v>10</v>
      </c>
      <c r="B34" s="36" t="s">
        <v>149</v>
      </c>
      <c r="C34" s="42" t="s">
        <v>73</v>
      </c>
      <c r="D34" s="42" t="s">
        <v>73</v>
      </c>
      <c r="E34" s="42" t="s">
        <v>73</v>
      </c>
      <c r="F34" s="42" t="s">
        <v>73</v>
      </c>
      <c r="G34" s="42" t="s">
        <v>73</v>
      </c>
      <c r="H34" s="43" t="s">
        <v>73</v>
      </c>
    </row>
    <row r="35" spans="1:8" x14ac:dyDescent="0.3">
      <c r="A35" s="87" t="s">
        <v>10</v>
      </c>
      <c r="B35" s="41" t="s">
        <v>150</v>
      </c>
      <c r="C35" s="42" t="s">
        <v>73</v>
      </c>
      <c r="D35" s="42" t="s">
        <v>73</v>
      </c>
      <c r="E35" s="42" t="s">
        <v>73</v>
      </c>
      <c r="F35" s="42" t="s">
        <v>73</v>
      </c>
      <c r="G35" s="42" t="s">
        <v>73</v>
      </c>
      <c r="H35" s="43" t="s">
        <v>73</v>
      </c>
    </row>
    <row r="36" spans="1:8" ht="13.2" customHeight="1" x14ac:dyDescent="0.3">
      <c r="A36" s="87" t="s">
        <v>10</v>
      </c>
      <c r="B36" s="41" t="s">
        <v>151</v>
      </c>
      <c r="C36" s="37">
        <v>7748.7947300000005</v>
      </c>
      <c r="D36" s="37">
        <v>8694.0769999999993</v>
      </c>
      <c r="E36" s="39">
        <v>12.199087767033916</v>
      </c>
      <c r="F36" s="44">
        <v>7748.7947300000005</v>
      </c>
      <c r="G36" s="44">
        <v>82228.857569999993</v>
      </c>
      <c r="H36" s="40">
        <v>961.18255077328649</v>
      </c>
    </row>
    <row r="37" spans="1:8" ht="28.2" customHeight="1" x14ac:dyDescent="0.3">
      <c r="A37" s="87" t="s">
        <v>12</v>
      </c>
      <c r="B37" s="36" t="s">
        <v>144</v>
      </c>
      <c r="C37" s="42" t="s">
        <v>73</v>
      </c>
      <c r="D37" s="42" t="s">
        <v>73</v>
      </c>
      <c r="E37" s="42" t="s">
        <v>73</v>
      </c>
      <c r="F37" s="42" t="s">
        <v>73</v>
      </c>
      <c r="G37" s="42" t="s">
        <v>73</v>
      </c>
      <c r="H37" s="43" t="s">
        <v>73</v>
      </c>
    </row>
    <row r="38" spans="1:8" x14ac:dyDescent="0.3">
      <c r="A38" s="87" t="s">
        <v>12</v>
      </c>
      <c r="B38" s="36" t="s">
        <v>145</v>
      </c>
      <c r="C38" s="42" t="s">
        <v>73</v>
      </c>
      <c r="D38" s="42" t="s">
        <v>73</v>
      </c>
      <c r="E38" s="42" t="s">
        <v>73</v>
      </c>
      <c r="F38" s="42" t="s">
        <v>73</v>
      </c>
      <c r="G38" s="42" t="s">
        <v>73</v>
      </c>
      <c r="H38" s="43" t="s">
        <v>73</v>
      </c>
    </row>
    <row r="39" spans="1:8" x14ac:dyDescent="0.3">
      <c r="A39" s="87" t="s">
        <v>12</v>
      </c>
      <c r="B39" s="36" t="s">
        <v>146</v>
      </c>
      <c r="C39" s="42" t="s">
        <v>73</v>
      </c>
      <c r="D39" s="42" t="s">
        <v>73</v>
      </c>
      <c r="E39" s="42" t="s">
        <v>73</v>
      </c>
      <c r="F39" s="42" t="s">
        <v>73</v>
      </c>
      <c r="G39" s="42" t="s">
        <v>73</v>
      </c>
      <c r="H39" s="43" t="s">
        <v>73</v>
      </c>
    </row>
    <row r="40" spans="1:8" x14ac:dyDescent="0.3">
      <c r="A40" s="87" t="s">
        <v>12</v>
      </c>
      <c r="B40" s="36" t="s">
        <v>147</v>
      </c>
      <c r="C40" s="42" t="s">
        <v>73</v>
      </c>
      <c r="D40" s="42" t="s">
        <v>73</v>
      </c>
      <c r="E40" s="42" t="s">
        <v>73</v>
      </c>
      <c r="F40" s="42" t="s">
        <v>73</v>
      </c>
      <c r="G40" s="42" t="s">
        <v>73</v>
      </c>
      <c r="H40" s="43" t="s">
        <v>73</v>
      </c>
    </row>
    <row r="41" spans="1:8" x14ac:dyDescent="0.3">
      <c r="A41" s="87" t="s">
        <v>12</v>
      </c>
      <c r="B41" s="36" t="s">
        <v>148</v>
      </c>
      <c r="C41" s="42" t="s">
        <v>73</v>
      </c>
      <c r="D41" s="42" t="s">
        <v>73</v>
      </c>
      <c r="E41" s="42" t="s">
        <v>73</v>
      </c>
      <c r="F41" s="42" t="s">
        <v>73</v>
      </c>
      <c r="G41" s="42" t="s">
        <v>73</v>
      </c>
      <c r="H41" s="43" t="s">
        <v>73</v>
      </c>
    </row>
    <row r="42" spans="1:8" x14ac:dyDescent="0.3">
      <c r="A42" s="87" t="s">
        <v>12</v>
      </c>
      <c r="B42" s="36" t="s">
        <v>149</v>
      </c>
      <c r="C42" s="42" t="s">
        <v>73</v>
      </c>
      <c r="D42" s="42" t="s">
        <v>73</v>
      </c>
      <c r="E42" s="42" t="s">
        <v>73</v>
      </c>
      <c r="F42" s="42" t="s">
        <v>73</v>
      </c>
      <c r="G42" s="42" t="s">
        <v>73</v>
      </c>
      <c r="H42" s="43" t="s">
        <v>73</v>
      </c>
    </row>
    <row r="43" spans="1:8" x14ac:dyDescent="0.3">
      <c r="A43" s="87" t="s">
        <v>12</v>
      </c>
      <c r="B43" s="41" t="s">
        <v>150</v>
      </c>
      <c r="C43" s="42" t="s">
        <v>73</v>
      </c>
      <c r="D43" s="42" t="s">
        <v>73</v>
      </c>
      <c r="E43" s="42" t="s">
        <v>73</v>
      </c>
      <c r="F43" s="42" t="s">
        <v>73</v>
      </c>
      <c r="G43" s="42" t="s">
        <v>73</v>
      </c>
      <c r="H43" s="43" t="s">
        <v>73</v>
      </c>
    </row>
    <row r="44" spans="1:8" ht="13.2" customHeight="1" x14ac:dyDescent="0.3">
      <c r="A44" s="93" t="s">
        <v>12</v>
      </c>
      <c r="B44" s="46" t="s">
        <v>151</v>
      </c>
      <c r="C44" s="47">
        <v>3594.22127</v>
      </c>
      <c r="D44" s="47">
        <v>3979.44</v>
      </c>
      <c r="E44" s="48">
        <v>10.717724398754116</v>
      </c>
      <c r="F44" s="47">
        <v>3594.22127</v>
      </c>
      <c r="G44" s="47">
        <v>36578.529649999997</v>
      </c>
      <c r="H44" s="79">
        <v>917.70388916539889</v>
      </c>
    </row>
    <row r="45" spans="1:8" ht="30" customHeight="1" x14ac:dyDescent="0.3">
      <c r="A45" s="49" t="s">
        <v>153</v>
      </c>
      <c r="B45" s="50"/>
      <c r="C45" s="51"/>
      <c r="D45" s="51"/>
      <c r="E45" s="52"/>
      <c r="F45" s="50"/>
      <c r="G45" s="51"/>
      <c r="H45" s="53"/>
    </row>
    <row r="46" spans="1:8" x14ac:dyDescent="0.3">
      <c r="A46" s="49" t="s">
        <v>116</v>
      </c>
      <c r="B46" s="50"/>
      <c r="C46" s="51"/>
      <c r="D46" s="51"/>
      <c r="E46" s="52"/>
      <c r="F46" s="50"/>
      <c r="G46" s="51"/>
      <c r="H46" s="53"/>
    </row>
    <row r="47" spans="1:8" x14ac:dyDescent="0.3">
      <c r="A47" s="54" t="s">
        <v>121</v>
      </c>
      <c r="B47" s="50"/>
      <c r="C47" s="51"/>
      <c r="D47" s="51"/>
      <c r="E47" s="52"/>
      <c r="F47" s="50"/>
      <c r="G47" s="51"/>
      <c r="H47" s="53"/>
    </row>
    <row r="48" spans="1:8" x14ac:dyDescent="0.3">
      <c r="A48" s="54" t="s">
        <v>122</v>
      </c>
      <c r="B48" s="50"/>
      <c r="C48" s="51"/>
      <c r="D48" s="51"/>
      <c r="E48" s="52"/>
      <c r="F48" s="50"/>
      <c r="G48" s="51"/>
      <c r="H48" s="53"/>
    </row>
    <row r="49" spans="1:8" x14ac:dyDescent="0.3">
      <c r="A49" s="54" t="s">
        <v>123</v>
      </c>
      <c r="B49" s="50"/>
      <c r="C49" s="51"/>
      <c r="D49" s="51"/>
      <c r="E49" s="52"/>
      <c r="F49" s="50"/>
      <c r="G49" s="51"/>
      <c r="H49" s="98"/>
    </row>
  </sheetData>
  <printOptions horizontalCentered="1"/>
  <pageMargins left="0.7" right="0.7" top="0.75" bottom="0.75" header="0.3" footer="0.3"/>
  <pageSetup scale="59" orientation="portrait" r:id="rId1"/>
  <headerFooter alignWithMargins="0">
    <oddFooter>&amp;LDBEDT Monthly Economic Indicators&amp;Rhttp://dbedt.hawaii.gov/economic/mei/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EA7AF5-A445-473D-9867-04ED7E4ED09C}">
  <ds:schemaRefs>
    <ds:schemaRef ds:uri="http://schemas.openxmlformats.org/package/2006/metadata/core-properties"/>
    <ds:schemaRef ds:uri="http://purl.org/dc/terms/"/>
    <ds:schemaRef ds:uri="http://purl.org/dc/elements/1.1/"/>
    <ds:schemaRef ds:uri="305f9a97-3fd8-4404-9c1d-7c6c12cbd762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7d826aad-0f04-46f7-a4e3-44f300ce194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5F7475A-0F24-4E00-9ACE-5B81F0D0E7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13E3B2-37B1-4FC8-A150-AA2BA7C8D0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MEI 2026-07  ADA2 TOC</vt:lpstr>
      <vt:lpstr>MEI 2026-07 ADA2 SA</vt:lpstr>
      <vt:lpstr>MEI 2026-07 ADA2 State</vt:lpstr>
      <vt:lpstr>MEI 2026-07 ADA2 Hono</vt:lpstr>
      <vt:lpstr>MEI 2026-07 ADA2 Hawaii</vt:lpstr>
      <vt:lpstr>MEI 2026-07 ADA2 Maui</vt:lpstr>
      <vt:lpstr>MEI 2026-07 ADA2 Kauai</vt:lpstr>
      <vt:lpstr>MEI 2026-07 ADA2 FY</vt:lpstr>
      <vt:lpstr>'MEI 2026-07  ADA2 TOC'!Print_Area</vt:lpstr>
      <vt:lpstr>'MEI 2026-07 ADA2 FY'!Print_Area</vt:lpstr>
      <vt:lpstr>'MEI 2026-07 ADA2 Hawaii'!Print_Area</vt:lpstr>
      <vt:lpstr>'MEI 2026-07 ADA2 Hono'!Print_Area</vt:lpstr>
      <vt:lpstr>'MEI 2026-07 ADA2 Kauai'!Print_Area</vt:lpstr>
      <vt:lpstr>'MEI 2026-07 ADA2 Maui'!Print_Area</vt:lpstr>
      <vt:lpstr>'MEI 2026-07 ADA2 SA'!Print_Area</vt:lpstr>
      <vt:lpstr>'MEI 2026-07 ADA2 State'!Print_Area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Blewitt, Mary E</dc:creator>
  <cp:keywords/>
  <dc:description/>
  <cp:lastModifiedBy>Blewitt, Mary E</cp:lastModifiedBy>
  <cp:revision/>
  <dcterms:created xsi:type="dcterms:W3CDTF">2026-04-08T19:07:55Z</dcterms:created>
  <dcterms:modified xsi:type="dcterms:W3CDTF">2026-09-02T15:34:51Z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MediaServiceImageTags">
    <vt:lpwstr/>
  </property>
  <property fmtid="{D5CDD505-2E9C-101B-9397-08002B2CF9AE}" pid="4" name="Order">
    <vt:r8>3064400</vt:r8>
  </property>
</Properties>
</file>